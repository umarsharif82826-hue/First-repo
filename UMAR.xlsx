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Q2\Documents\"/>
    </mc:Choice>
  </mc:AlternateContent>
  <bookViews>
    <workbookView xWindow="0" yWindow="0" windowWidth="28800" windowHeight="11775" activeTab="1"/>
  </bookViews>
  <sheets>
    <sheet name="Sheet2" sheetId="2" r:id="rId1"/>
    <sheet name="Sheet1" sheetId="1" r:id="rId2"/>
    <sheet name="Sheet3" sheetId="3" r:id="rId3"/>
  </sheets>
  <calcPr calcId="162913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2" i="1" l="1"/>
  <c r="M13" i="1"/>
  <c r="M14" i="1"/>
  <c r="M15" i="1"/>
  <c r="M16" i="1"/>
  <c r="M17" i="1"/>
  <c r="M18" i="1"/>
  <c r="M19" i="1"/>
  <c r="M11" i="1"/>
  <c r="K12" i="1"/>
  <c r="K13" i="1"/>
  <c r="K14" i="1"/>
  <c r="K15" i="1"/>
  <c r="K16" i="1"/>
  <c r="K17" i="1"/>
  <c r="K18" i="1"/>
  <c r="K19" i="1"/>
  <c r="K11" i="1"/>
  <c r="J12" i="1"/>
  <c r="J13" i="1"/>
  <c r="J14" i="1"/>
  <c r="J15" i="1"/>
  <c r="J17" i="1"/>
  <c r="J11" i="1"/>
  <c r="I12" i="1"/>
  <c r="I13" i="1"/>
  <c r="I14" i="1"/>
  <c r="I15" i="1"/>
  <c r="I16" i="1"/>
  <c r="I17" i="1"/>
  <c r="I18" i="1"/>
  <c r="I11" i="1"/>
  <c r="H12" i="1"/>
  <c r="H13" i="1"/>
  <c r="H11" i="1"/>
  <c r="G12" i="1"/>
  <c r="G13" i="1"/>
  <c r="G11" i="1"/>
  <c r="F12" i="1"/>
  <c r="F13" i="1"/>
  <c r="F14" i="1"/>
  <c r="F15" i="1"/>
  <c r="F16" i="1"/>
  <c r="F17" i="1"/>
  <c r="F19" i="1"/>
  <c r="F11" i="1"/>
  <c r="E12" i="1"/>
  <c r="I19" i="1" s="1"/>
  <c r="E13" i="1"/>
  <c r="E11" i="1"/>
  <c r="C19" i="1" s="1"/>
  <c r="D12" i="1"/>
  <c r="J19" i="1" s="1"/>
  <c r="D13" i="1"/>
  <c r="D11" i="1"/>
  <c r="C12" i="1"/>
  <c r="C13" i="1"/>
  <c r="C14" i="1"/>
  <c r="C15" i="1"/>
  <c r="C16" i="1"/>
  <c r="C17" i="1"/>
  <c r="C18" i="1"/>
  <c r="C11" i="1"/>
  <c r="B12" i="1"/>
  <c r="B13" i="1"/>
  <c r="B11" i="1"/>
  <c r="A18" i="1"/>
  <c r="A19" i="1"/>
  <c r="A15" i="1"/>
  <c r="A16" i="1"/>
  <c r="A12" i="1"/>
  <c r="A13" i="1"/>
  <c r="A14" i="1"/>
  <c r="A17" i="1"/>
  <c r="A11" i="1"/>
  <c r="O2" i="1"/>
  <c r="O3" i="1"/>
  <c r="O4" i="1"/>
  <c r="O5" i="1"/>
  <c r="O6" i="1"/>
  <c r="O7" i="1"/>
  <c r="O8" i="1"/>
  <c r="D15" i="1" l="1"/>
  <c r="J18" i="1"/>
  <c r="B14" i="1"/>
  <c r="D14" i="1"/>
  <c r="H16" i="1" s="1"/>
  <c r="E14" i="1"/>
  <c r="D16" i="1" s="1"/>
  <c r="H18" i="1" s="1"/>
  <c r="B15" i="1"/>
  <c r="G15" i="1"/>
  <c r="G14" i="1"/>
  <c r="H15" i="1"/>
  <c r="H14" i="1"/>
  <c r="G17" i="1"/>
  <c r="G16" i="1"/>
  <c r="E15" i="1"/>
  <c r="G18" i="1" l="1"/>
  <c r="B17" i="1"/>
  <c r="E16" i="1"/>
  <c r="D19" i="1" s="1"/>
  <c r="B16" i="1"/>
  <c r="D18" i="1"/>
  <c r="H17" i="1"/>
  <c r="E17" i="1"/>
  <c r="B19" i="1" s="1"/>
  <c r="D17" i="1"/>
  <c r="B18" i="1"/>
  <c r="E19" i="1" l="1"/>
  <c r="E18" i="1"/>
  <c r="G19" i="1"/>
  <c r="H19" i="1"/>
</calcChain>
</file>

<file path=xl/sharedStrings.xml><?xml version="1.0" encoding="utf-8"?>
<sst xmlns="http://schemas.openxmlformats.org/spreadsheetml/2006/main" count="213" uniqueCount="175">
  <si>
    <t>CompanyID</t>
  </si>
  <si>
    <t>CompanyName</t>
  </si>
  <si>
    <t>Industry</t>
  </si>
  <si>
    <t>FoundedYear</t>
  </si>
  <si>
    <t>Employees</t>
  </si>
  <si>
    <t>CEO</t>
  </si>
  <si>
    <t>Headquarters</t>
  </si>
  <si>
    <t>Country</t>
  </si>
  <si>
    <t>City</t>
  </si>
  <si>
    <t>RevenueUSD</t>
  </si>
  <si>
    <t>NetProfitUSD</t>
  </si>
  <si>
    <t>MarketCapUSD</t>
  </si>
  <si>
    <t>Website</t>
  </si>
  <si>
    <t>Email</t>
  </si>
  <si>
    <t>Phone</t>
  </si>
  <si>
    <t>Address</t>
  </si>
  <si>
    <t>PostalCode</t>
  </si>
  <si>
    <t>TaxID</t>
  </si>
  <si>
    <t>RegistrationNo</t>
  </si>
  <si>
    <t>CompanyType</t>
  </si>
  <si>
    <t>Ownership</t>
  </si>
  <si>
    <t>AnnualGrowthPct</t>
  </si>
  <si>
    <t>RnDBudgetUSD</t>
  </si>
  <si>
    <t>MarketingBudgetUSD</t>
  </si>
  <si>
    <t>OperatingCostUSD</t>
  </si>
  <si>
    <t>CustomerCount</t>
  </si>
  <si>
    <t>PartnerCount</t>
  </si>
  <si>
    <t>StockSymbol</t>
  </si>
  <si>
    <t>IPOYear</t>
  </si>
  <si>
    <t>ESGScore</t>
  </si>
  <si>
    <t>CreditRating</t>
  </si>
  <si>
    <t>Status</t>
  </si>
  <si>
    <t>C001</t>
  </si>
  <si>
    <t>TechNova Inc</t>
  </si>
  <si>
    <t>Technology</t>
  </si>
  <si>
    <t>Sarah Lee</t>
  </si>
  <si>
    <t>Silicon Valley</t>
  </si>
  <si>
    <t>USA</t>
  </si>
  <si>
    <t>San Jose</t>
  </si>
  <si>
    <t>www.technova.com</t>
  </si>
  <si>
    <t>info@technova.com</t>
  </si>
  <si>
    <t>101 Tech Park</t>
  </si>
  <si>
    <t>TX98123</t>
  </si>
  <si>
    <t>REG1001</t>
  </si>
  <si>
    <t>Public</t>
  </si>
  <si>
    <t>Shareholders</t>
  </si>
  <si>
    <t>TNV</t>
  </si>
  <si>
    <t>A</t>
  </si>
  <si>
    <t>Active</t>
  </si>
  <si>
    <t>C002</t>
  </si>
  <si>
    <t>GreenEdge Ltd</t>
  </si>
  <si>
    <t>Renewable Energy</t>
  </si>
  <si>
    <t>Mark Jensen</t>
  </si>
  <si>
    <t>Canary Wharf</t>
  </si>
  <si>
    <t>UK</t>
  </si>
  <si>
    <t>London</t>
  </si>
  <si>
    <t>www.greenedge.co.uk</t>
  </si>
  <si>
    <t>contact@greenedge.co.uk</t>
  </si>
  <si>
    <t>22 River Rd</t>
  </si>
  <si>
    <t>E14 5AB</t>
  </si>
  <si>
    <t>UK77221</t>
  </si>
  <si>
    <t>REG1002</t>
  </si>
  <si>
    <t>Private</t>
  </si>
  <si>
    <t>Founders</t>
  </si>
  <si>
    <t>—</t>
  </si>
  <si>
    <t>BBB+</t>
  </si>
  <si>
    <t>C003</t>
  </si>
  <si>
    <t>FinCore Bank</t>
  </si>
  <si>
    <t>Finance</t>
  </si>
  <si>
    <t>Daniel Wu</t>
  </si>
  <si>
    <t>Central District</t>
  </si>
  <si>
    <t>Hong Kong</t>
  </si>
  <si>
    <t>www.fincore.com</t>
  </si>
  <si>
    <t>support@fincore.com</t>
  </si>
  <si>
    <t>88 Finance St</t>
  </si>
  <si>
    <t>HK99102</t>
  </si>
  <si>
    <t>REG1003</t>
  </si>
  <si>
    <t>Institutional</t>
  </si>
  <si>
    <t>FCB</t>
  </si>
  <si>
    <t>A+</t>
  </si>
  <si>
    <t>C004</t>
  </si>
  <si>
    <t>MedixCare Corp</t>
  </si>
  <si>
    <t>Healthcare</t>
  </si>
  <si>
    <t>Laura Smith</t>
  </si>
  <si>
    <t>Downtown</t>
  </si>
  <si>
    <t>Canada</t>
  </si>
  <si>
    <t>Toronto</t>
  </si>
  <si>
    <t>www.medixcare.ca</t>
  </si>
  <si>
    <t>hello@medixcare.ca</t>
  </si>
  <si>
    <t>77 Health Ave</t>
  </si>
  <si>
    <t>M5H 2N2</t>
  </si>
  <si>
    <t>CA55812</t>
  </si>
  <si>
    <t>REG1004</t>
  </si>
  <si>
    <t>MDC</t>
  </si>
  <si>
    <t>AA</t>
  </si>
  <si>
    <t>C005</t>
  </si>
  <si>
    <t>AutoMotion AG</t>
  </si>
  <si>
    <t>Automotive</t>
  </si>
  <si>
    <t>Klaus Meier</t>
  </si>
  <si>
    <t>Industrial Zone</t>
  </si>
  <si>
    <t>Germany</t>
  </si>
  <si>
    <t>Stuttgart</t>
  </si>
  <si>
    <t>www.automotion.de</t>
  </si>
  <si>
    <t>info@automotion.de</t>
  </si>
  <si>
    <t>9 Motor Way</t>
  </si>
  <si>
    <t>DE33445</t>
  </si>
  <si>
    <t>REG1005</t>
  </si>
  <si>
    <t>Family-Owned</t>
  </si>
  <si>
    <t>AMG</t>
  </si>
  <si>
    <t>C006</t>
  </si>
  <si>
    <t>SkyLogix</t>
  </si>
  <si>
    <t>Logistics</t>
  </si>
  <si>
    <t>Ahmed Khan</t>
  </si>
  <si>
    <t>Free Zone</t>
  </si>
  <si>
    <t>UAE</t>
  </si>
  <si>
    <t>Dubai</t>
  </si>
  <si>
    <t>www.skylogix.ae</t>
  </si>
  <si>
    <t>ops@skylogix.ae</t>
  </si>
  <si>
    <t>12 Cargo Blvd</t>
  </si>
  <si>
    <t>AE88112</t>
  </si>
  <si>
    <t>REG1006</t>
  </si>
  <si>
    <t>Investors</t>
  </si>
  <si>
    <t>BBB</t>
  </si>
  <si>
    <t>C007</t>
  </si>
  <si>
    <t>EduSphere</t>
  </si>
  <si>
    <t>Education</t>
  </si>
  <si>
    <t>Priya Nair</t>
  </si>
  <si>
    <t>Tech Corridor</t>
  </si>
  <si>
    <t>India</t>
  </si>
  <si>
    <t>Bengaluru</t>
  </si>
  <si>
    <t>www.edusphere.in</t>
  </si>
  <si>
    <t>connect@edusphere.in</t>
  </si>
  <si>
    <t>45 Knowledge Rd</t>
  </si>
  <si>
    <t>IN44012</t>
  </si>
  <si>
    <t>REG1007</t>
  </si>
  <si>
    <t>SUM</t>
  </si>
  <si>
    <t>SUMIF</t>
  </si>
  <si>
    <t>IF</t>
  </si>
  <si>
    <t>COUNTIF</t>
  </si>
  <si>
    <t>COUNT</t>
  </si>
  <si>
    <t>VLOOKUP</t>
  </si>
  <si>
    <t>MIN</t>
  </si>
  <si>
    <t>MA X</t>
  </si>
  <si>
    <t>AVE</t>
  </si>
  <si>
    <t>PER</t>
  </si>
  <si>
    <t>UPPER</t>
  </si>
  <si>
    <t>LOWER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</si>
  <si>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</si>
  <si>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</si>
  <si>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</si>
  <si>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</si>
  <si>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</si>
  <si>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</si>
  <si>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</si>
  <si>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</si>
  <si>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</si>
  <si>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</si>
  <si>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</si>
  <si>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</si>
  <si>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</si>
  <si>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</si>
  <si>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Row Labels</t>
  </si>
  <si>
    <t>Grand Total</t>
  </si>
  <si>
    <t>(All)</t>
  </si>
  <si>
    <t>Count of Headquarters</t>
  </si>
  <si>
    <t>Count of Email</t>
  </si>
  <si>
    <t>DATA</t>
  </si>
  <si>
    <t>VALIDITION</t>
  </si>
  <si>
    <t>25/1/26</t>
  </si>
  <si>
    <t>25/1/27</t>
  </si>
  <si>
    <t>25/1/28</t>
  </si>
  <si>
    <t>25/1/29</t>
  </si>
  <si>
    <t>25/1/30</t>
  </si>
  <si>
    <t>25/1/31</t>
  </si>
  <si>
    <t>25/1/32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</si>
</sst>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Algerian"/>
      <family val="5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3" fillId="0" borderId="0" xfId="0" applyFont="1"/>
  </cellXfs>
  <cellStyles count="2">
    <cellStyle name="Hyperlink" xfId="1" builtinId="8"/>
    <cellStyle name="Normal" xfId="0" builtinId="0"/>
  </cellStyles>
  <dxfs count="36">
    <dxf>
      <font>
        <color rgb="FF9C0006"/>
      </font>
      <fill>
        <patternFill>
          <bgColor rgb="FFFFC7CE"/>
        </patternFill>
      </fill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4645363079615048"/>
          <c:y val="0.77819444444444441"/>
          <c:w val="0.13203871391076116"/>
          <c:h val="0.22006452318460193"/>
        </c:manualLayout>
      </c:layout>
      <c:pieChart>
        <c:varyColors val="1"/>
        <c:ser>
          <c:idx val="0"/>
          <c:order val="0"/>
          <c:tx>
            <c:strRef>
              <c:f>Sheet1!$AF$1</c:f>
              <c:strCache>
                <c:ptCount val="1"/>
                <c:pt idx="0">
                  <c:v>Status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Sheet1!$A$2:$AE$8</c:f>
              <c:multiLvlStrCache>
                <c:ptCount val="7"/>
                <c:lvl>
                  <c:pt idx="0">
                    <c:v>A</c:v>
                  </c:pt>
                  <c:pt idx="1">
                    <c:v>BBB+</c:v>
                  </c:pt>
                  <c:pt idx="2">
                    <c:v>A+</c:v>
                  </c:pt>
                  <c:pt idx="3">
                    <c:v>AA</c:v>
                  </c:pt>
                  <c:pt idx="4">
                    <c:v>A</c:v>
                  </c:pt>
                  <c:pt idx="5">
                    <c:v>BBB</c:v>
                  </c:pt>
                  <c:pt idx="6">
                    <c:v>BBB+</c:v>
                  </c:pt>
                </c:lvl>
                <c:lvl>
                  <c:pt idx="0">
                    <c:v>82</c:v>
                  </c:pt>
                  <c:pt idx="1">
                    <c:v>88</c:v>
                  </c:pt>
                  <c:pt idx="2">
                    <c:v>75</c:v>
                  </c:pt>
                  <c:pt idx="3">
                    <c:v>90</c:v>
                  </c:pt>
                  <c:pt idx="4">
                    <c:v>78</c:v>
                  </c:pt>
                  <c:pt idx="5">
                    <c:v>70</c:v>
                  </c:pt>
                  <c:pt idx="6">
                    <c:v>85</c:v>
                  </c:pt>
                </c:lvl>
                <c:lvl>
                  <c:pt idx="0">
                    <c:v>2018</c:v>
                  </c:pt>
                  <c:pt idx="1">
                    <c:v>—</c:v>
                  </c:pt>
                  <c:pt idx="2">
                    <c:v>2005</c:v>
                  </c:pt>
                  <c:pt idx="3">
                    <c:v>2012</c:v>
                  </c:pt>
                  <c:pt idx="4">
                    <c:v>1999</c:v>
                  </c:pt>
                  <c:pt idx="5">
                    <c:v>—</c:v>
                  </c:pt>
                  <c:pt idx="6">
                    <c:v>—</c:v>
                  </c:pt>
                </c:lvl>
                <c:lvl>
                  <c:pt idx="0">
                    <c:v>TNV</c:v>
                  </c:pt>
                  <c:pt idx="1">
                    <c:v>—</c:v>
                  </c:pt>
                  <c:pt idx="2">
                    <c:v>FCB</c:v>
                  </c:pt>
                  <c:pt idx="3">
                    <c:v>MDC</c:v>
                  </c:pt>
                  <c:pt idx="4">
                    <c:v>AMG</c:v>
                  </c:pt>
                  <c:pt idx="5">
                    <c:v>—</c:v>
                  </c:pt>
                  <c:pt idx="6">
                    <c:v>—</c:v>
                  </c:pt>
                </c:lvl>
                <c:lvl>
                  <c:pt idx="0">
                    <c:v>320</c:v>
                  </c:pt>
                  <c:pt idx="1">
                    <c:v>110</c:v>
                  </c:pt>
                  <c:pt idx="2">
                    <c:v>540</c:v>
                  </c:pt>
                  <c:pt idx="3">
                    <c:v>210</c:v>
                  </c:pt>
                  <c:pt idx="4">
                    <c:v>680</c:v>
                  </c:pt>
                  <c:pt idx="5">
                    <c:v>390</c:v>
                  </c:pt>
                  <c:pt idx="6">
                    <c:v>150</c:v>
                  </c:pt>
                </c:lvl>
                <c:lvl>
                  <c:pt idx="0">
                    <c:v>1500000</c:v>
                  </c:pt>
                  <c:pt idx="1">
                    <c:v>430000</c:v>
                  </c:pt>
                  <c:pt idx="2">
                    <c:v>8200000</c:v>
                  </c:pt>
                  <c:pt idx="3">
                    <c:v>2300000</c:v>
                  </c:pt>
                  <c:pt idx="4">
                    <c:v>5600000</c:v>
                  </c:pt>
                  <c:pt idx="5">
                    <c:v>1800000</c:v>
                  </c:pt>
                  <c:pt idx="6">
                    <c:v>3200000</c:v>
                  </c:pt>
                </c:lvl>
                <c:lvl>
                  <c:pt idx="0">
                    <c:v>500000000</c:v>
                  </c:pt>
                  <c:pt idx="1">
                    <c:v>260000000</c:v>
                  </c:pt>
                  <c:pt idx="2">
                    <c:v>1200000000</c:v>
                  </c:pt>
                  <c:pt idx="3">
                    <c:v>610000000</c:v>
                  </c:pt>
                  <c:pt idx="4">
                    <c:v>2100000000</c:v>
                  </c:pt>
                  <c:pt idx="5">
                    <c:v>480000000</c:v>
                  </c:pt>
                  <c:pt idx="6">
                    <c:v>160000000</c:v>
                  </c:pt>
                </c:lvl>
                <c:lvl>
                  <c:pt idx="0">
                    <c:v>60000000</c:v>
                  </c:pt>
                  <c:pt idx="1">
                    <c:v>25000000</c:v>
                  </c:pt>
                  <c:pt idx="2">
                    <c:v>90000000</c:v>
                  </c:pt>
                  <c:pt idx="3">
                    <c:v>50000000</c:v>
                  </c:pt>
                  <c:pt idx="4">
                    <c:v>130000000</c:v>
                  </c:pt>
                  <c:pt idx="5">
                    <c:v>42000000</c:v>
                  </c:pt>
                  <c:pt idx="6">
                    <c:v>28000000</c:v>
                  </c:pt>
                </c:lvl>
                <c:lvl>
                  <c:pt idx="0">
                    <c:v>90000000</c:v>
                  </c:pt>
                  <c:pt idx="1">
                    <c:v>40000000</c:v>
                  </c:pt>
                  <c:pt idx="2">
                    <c:v>120000000</c:v>
                  </c:pt>
                  <c:pt idx="3">
                    <c:v>85000000</c:v>
                  </c:pt>
                  <c:pt idx="4">
                    <c:v>210000000</c:v>
                  </c:pt>
                  <c:pt idx="5">
                    <c:v>30000000</c:v>
                  </c:pt>
                  <c:pt idx="6">
                    <c:v>35000000</c:v>
                  </c:pt>
                </c:lvl>
                <c:lvl>
                  <c:pt idx="0">
                    <c:v>12.5</c:v>
                  </c:pt>
                  <c:pt idx="1">
                    <c:v>15.2</c:v>
                  </c:pt>
                  <c:pt idx="2">
                    <c:v>6.8</c:v>
                  </c:pt>
                  <c:pt idx="3">
                    <c:v>9.1</c:v>
                  </c:pt>
                  <c:pt idx="4">
                    <c:v>4.6</c:v>
                  </c:pt>
                  <c:pt idx="5">
                    <c:v>11.9</c:v>
                  </c:pt>
                  <c:pt idx="6">
                    <c:v>18.4</c:v>
                  </c:pt>
                </c:lvl>
                <c:lvl>
                  <c:pt idx="0">
                    <c:v>Shareholders</c:v>
                  </c:pt>
                  <c:pt idx="1">
                    <c:v>Founders</c:v>
                  </c:pt>
                  <c:pt idx="2">
                    <c:v>Institutional</c:v>
                  </c:pt>
                  <c:pt idx="3">
                    <c:v>Shareholders</c:v>
                  </c:pt>
                  <c:pt idx="4">
                    <c:v>Family-Owned</c:v>
                  </c:pt>
                  <c:pt idx="5">
                    <c:v>Investors</c:v>
                  </c:pt>
                  <c:pt idx="6">
                    <c:v>Founders</c:v>
                  </c:pt>
                </c:lvl>
                <c:lvl>
                  <c:pt idx="0">
                    <c:v>Public</c:v>
                  </c:pt>
                  <c:pt idx="1">
                    <c:v>Private</c:v>
                  </c:pt>
                  <c:pt idx="2">
                    <c:v>Public</c:v>
                  </c:pt>
                  <c:pt idx="3">
                    <c:v>Public</c:v>
                  </c:pt>
                  <c:pt idx="4">
                    <c:v>Public</c:v>
                  </c:pt>
                  <c:pt idx="5">
                    <c:v>Private</c:v>
                  </c:pt>
                  <c:pt idx="6">
                    <c:v>Private</c:v>
                  </c:pt>
                </c:lvl>
                <c:lvl>
                  <c:pt idx="0">
                    <c:v>REG1001</c:v>
                  </c:pt>
                  <c:pt idx="1">
                    <c:v>REG1002</c:v>
                  </c:pt>
                  <c:pt idx="2">
                    <c:v>REG1003</c:v>
                  </c:pt>
                  <c:pt idx="3">
                    <c:v>REG1004</c:v>
                  </c:pt>
                  <c:pt idx="4">
                    <c:v>REG1005</c:v>
                  </c:pt>
                  <c:pt idx="5">
                    <c:v>REG1006</c:v>
                  </c:pt>
                  <c:pt idx="6">
                    <c:v>REG1007</c:v>
                  </c:pt>
                </c:lvl>
                <c:lvl>
                  <c:pt idx="0">
                    <c:v>TX98123</c:v>
                  </c:pt>
                  <c:pt idx="1">
                    <c:v>UK77221</c:v>
                  </c:pt>
                  <c:pt idx="2">
                    <c:v>HK99102</c:v>
                  </c:pt>
                  <c:pt idx="3">
                    <c:v>CA55812</c:v>
                  </c:pt>
                  <c:pt idx="4">
                    <c:v>DE33445</c:v>
                  </c:pt>
                  <c:pt idx="5">
                    <c:v>AE88112</c:v>
                  </c:pt>
                  <c:pt idx="6">
                    <c:v>IN44012</c:v>
                  </c:pt>
                </c:lvl>
                <c:lvl>
                  <c:pt idx="0">
                    <c:v>95112</c:v>
                  </c:pt>
                  <c:pt idx="1">
                    <c:v>E14 5AB</c:v>
                  </c:pt>
                  <c:pt idx="2">
                    <c:v>999077</c:v>
                  </c:pt>
                  <c:pt idx="3">
                    <c:v>M5H 2N2</c:v>
                  </c:pt>
                  <c:pt idx="4">
                    <c:v>70173</c:v>
                  </c:pt>
                  <c:pt idx="5">
                    <c:v>0</c:v>
                  </c:pt>
                  <c:pt idx="6">
                    <c:v>560001</c:v>
                  </c:pt>
                </c:lvl>
                <c:lvl>
                  <c:pt idx="0">
                    <c:v>101 Tech Park</c:v>
                  </c:pt>
                  <c:pt idx="1">
                    <c:v>22 River Rd</c:v>
                  </c:pt>
                  <c:pt idx="2">
                    <c:v>88 Finance St</c:v>
                  </c:pt>
                  <c:pt idx="3">
                    <c:v>77 Health Ave</c:v>
                  </c:pt>
                  <c:pt idx="4">
                    <c:v>9 Motor Way</c:v>
                  </c:pt>
                  <c:pt idx="5">
                    <c:v>12 Cargo Blvd</c:v>
                  </c:pt>
                  <c:pt idx="6">
                    <c:v>45 Knowledge Rd</c:v>
                  </c:pt>
                </c:lvl>
                <c:lvl>
                  <c:pt idx="0">
                    <c:v>-1564</c:v>
                  </c:pt>
                  <c:pt idx="1">
                    <c:v>-2187</c:v>
                  </c:pt>
                  <c:pt idx="2">
                    <c:v>-4707</c:v>
                  </c:pt>
                  <c:pt idx="3">
                    <c:v>-8203</c:v>
                  </c:pt>
                  <c:pt idx="4">
                    <c:v>-1562</c:v>
                  </c:pt>
                  <c:pt idx="5">
                    <c:v>-9021</c:v>
                  </c:pt>
                  <c:pt idx="6">
                    <c:v>-5511</c:v>
                  </c:pt>
                </c:lvl>
                <c:lvl>
                  <c:pt idx="0">
                    <c:v>info@technova.com</c:v>
                  </c:pt>
                  <c:pt idx="1">
                    <c:v>contact@greenedge.co.uk</c:v>
                  </c:pt>
                  <c:pt idx="2">
                    <c:v>support@fincore.com</c:v>
                  </c:pt>
                  <c:pt idx="3">
                    <c:v>hello@medixcare.ca</c:v>
                  </c:pt>
                  <c:pt idx="4">
                    <c:v>info@automotion.de</c:v>
                  </c:pt>
                  <c:pt idx="5">
                    <c:v>ops@skylogix.ae</c:v>
                  </c:pt>
                  <c:pt idx="6">
                    <c:v>connect@edusphere.in</c:v>
                  </c:pt>
                </c:lvl>
                <c:lvl>
                  <c:pt idx="0">
                    <c:v>www.technova.com</c:v>
                  </c:pt>
                  <c:pt idx="1">
                    <c:v>www.greenedge.co.uk</c:v>
                  </c:pt>
                  <c:pt idx="2">
                    <c:v>www.fincore.com</c:v>
                  </c:pt>
                  <c:pt idx="3">
                    <c:v>www.medixcare.ca</c:v>
                  </c:pt>
                  <c:pt idx="4">
                    <c:v>www.automotion.de</c:v>
                  </c:pt>
                  <c:pt idx="5">
                    <c:v>www.skylogix.ae</c:v>
                  </c:pt>
                  <c:pt idx="6">
                    <c:v>www.edusphere.in</c:v>
                  </c:pt>
                </c:lvl>
                <c:lvl>
                  <c:pt idx="0">
                    <c:v>3200000000</c:v>
                  </c:pt>
                  <c:pt idx="1">
                    <c:v>1400000000</c:v>
                  </c:pt>
                  <c:pt idx="2">
                    <c:v>8900000000</c:v>
                  </c:pt>
                  <c:pt idx="3">
                    <c:v>4100000000</c:v>
                  </c:pt>
                  <c:pt idx="4">
                    <c:v>10200000000</c:v>
                  </c:pt>
                  <c:pt idx="5">
                    <c:v>2600000000</c:v>
                  </c:pt>
                  <c:pt idx="6">
                    <c:v>980000000</c:v>
                  </c:pt>
                </c:lvl>
                <c:lvl>
                  <c:pt idx="0">
                    <c:v>120000000</c:v>
                  </c:pt>
                  <c:pt idx="1">
                    <c:v>68000000</c:v>
                  </c:pt>
                  <c:pt idx="2">
                    <c:v>390000000</c:v>
                  </c:pt>
                  <c:pt idx="3">
                    <c:v>150000000</c:v>
                  </c:pt>
                  <c:pt idx="4">
                    <c:v>410000000</c:v>
                  </c:pt>
                  <c:pt idx="5">
                    <c:v>98000000</c:v>
                  </c:pt>
                  <c:pt idx="6">
                    <c:v>42000000</c:v>
                  </c:pt>
                </c:lvl>
                <c:lvl>
                  <c:pt idx="0">
                    <c:v>850000000</c:v>
                  </c:pt>
                  <c:pt idx="1">
                    <c:v>420000000</c:v>
                  </c:pt>
                  <c:pt idx="2">
                    <c:v>2100000000</c:v>
                  </c:pt>
                  <c:pt idx="3">
                    <c:v>980000000</c:v>
                  </c:pt>
                  <c:pt idx="4">
                    <c:v>3400000000</c:v>
                  </c:pt>
                  <c:pt idx="5">
                    <c:v>760000000</c:v>
                  </c:pt>
                  <c:pt idx="6">
                    <c:v>260000000</c:v>
                  </c:pt>
                </c:lvl>
                <c:lvl>
                  <c:pt idx="0">
                    <c:v>San Jose</c:v>
                  </c:pt>
                  <c:pt idx="1">
                    <c:v>London</c:v>
                  </c:pt>
                  <c:pt idx="2">
                    <c:v>Hong Kong</c:v>
                  </c:pt>
                  <c:pt idx="3">
                    <c:v>Toronto</c:v>
                  </c:pt>
                  <c:pt idx="4">
                    <c:v>Stuttgart</c:v>
                  </c:pt>
                  <c:pt idx="5">
                    <c:v>Dubai</c:v>
                  </c:pt>
                  <c:pt idx="6">
                    <c:v>Bengaluru</c:v>
                  </c:pt>
                </c:lvl>
                <c:lvl>
                  <c:pt idx="0">
                    <c:v>USA</c:v>
                  </c:pt>
                  <c:pt idx="1">
                    <c:v>UK</c:v>
                  </c:pt>
                  <c:pt idx="2">
                    <c:v>Hong Kong</c:v>
                  </c:pt>
                  <c:pt idx="3">
                    <c:v>Canada</c:v>
                  </c:pt>
                  <c:pt idx="4">
                    <c:v>Germany</c:v>
                  </c:pt>
                  <c:pt idx="5">
                    <c:v>UAE</c:v>
                  </c:pt>
                  <c:pt idx="6">
                    <c:v>India</c:v>
                  </c:pt>
                </c:lvl>
                <c:lvl>
                  <c:pt idx="0">
                    <c:v>Silicon Valley</c:v>
                  </c:pt>
                  <c:pt idx="1">
                    <c:v>Canary Wharf</c:v>
                  </c:pt>
                  <c:pt idx="2">
                    <c:v>Central District</c:v>
                  </c:pt>
                  <c:pt idx="3">
                    <c:v>Downtown</c:v>
                  </c:pt>
                  <c:pt idx="4">
                    <c:v>Industrial Zone</c:v>
                  </c:pt>
                  <c:pt idx="5">
                    <c:v>Free Zone</c:v>
                  </c:pt>
                  <c:pt idx="6">
                    <c:v>Tech Corridor</c:v>
                  </c:pt>
                </c:lvl>
                <c:lvl>
                  <c:pt idx="0">
                    <c:v>Sarah Lee</c:v>
                  </c:pt>
                  <c:pt idx="1">
                    <c:v>Mark Jensen</c:v>
                  </c:pt>
                  <c:pt idx="2">
                    <c:v>Daniel Wu</c:v>
                  </c:pt>
                  <c:pt idx="3">
                    <c:v>Laura Smith</c:v>
                  </c:pt>
                  <c:pt idx="4">
                    <c:v>Klaus Meier</c:v>
                  </c:pt>
                  <c:pt idx="5">
                    <c:v>Ahmed Khan</c:v>
                  </c:pt>
                  <c:pt idx="6">
                    <c:v>Priya Nair</c:v>
                  </c:pt>
                </c:lvl>
                <c:lvl>
                  <c:pt idx="0">
                    <c:v>1200</c:v>
                  </c:pt>
                  <c:pt idx="1">
                    <c:v>600</c:v>
                  </c:pt>
                  <c:pt idx="2">
                    <c:v>5400</c:v>
                  </c:pt>
                  <c:pt idx="3">
                    <c:v>3200</c:v>
                  </c:pt>
                  <c:pt idx="4">
                    <c:v>7800</c:v>
                  </c:pt>
                  <c:pt idx="5">
                    <c:v>2100</c:v>
                  </c:pt>
                  <c:pt idx="6">
                    <c:v>900</c:v>
                  </c:pt>
                </c:lvl>
                <c:lvl>
                  <c:pt idx="0">
                    <c:v>2010</c:v>
                  </c:pt>
                  <c:pt idx="1">
                    <c:v>2014</c:v>
                  </c:pt>
                  <c:pt idx="2">
                    <c:v>1998</c:v>
                  </c:pt>
                  <c:pt idx="3">
                    <c:v>2005</c:v>
                  </c:pt>
                  <c:pt idx="4">
                    <c:v>1985</c:v>
                  </c:pt>
                  <c:pt idx="5">
                    <c:v>2012</c:v>
                  </c:pt>
                  <c:pt idx="6">
                    <c:v>2016</c:v>
                  </c:pt>
                </c:lvl>
                <c:lvl>
                  <c:pt idx="0">
                    <c:v>Technology</c:v>
                  </c:pt>
                  <c:pt idx="1">
                    <c:v>Renewable Energy</c:v>
                  </c:pt>
                  <c:pt idx="2">
                    <c:v>Finance</c:v>
                  </c:pt>
                  <c:pt idx="3">
                    <c:v>Healthcare</c:v>
                  </c:pt>
                  <c:pt idx="4">
                    <c:v>Automotive</c:v>
                  </c:pt>
                  <c:pt idx="5">
                    <c:v>Logistics</c:v>
                  </c:pt>
                  <c:pt idx="6">
                    <c:v>Education</c:v>
                  </c:pt>
                </c:lvl>
                <c:lvl>
                  <c:pt idx="0">
                    <c:v>TechNova Inc</c:v>
                  </c:pt>
                  <c:pt idx="1">
                    <c:v>GreenEdge Ltd</c:v>
                  </c:pt>
                  <c:pt idx="2">
                    <c:v>FinCore Bank</c:v>
                  </c:pt>
                  <c:pt idx="3">
                    <c:v>MedixCare Corp</c:v>
                  </c:pt>
                  <c:pt idx="4">
                    <c:v>AutoMotion AG</c:v>
                  </c:pt>
                  <c:pt idx="5">
                    <c:v>SkyLogix</c:v>
                  </c:pt>
                  <c:pt idx="6">
                    <c:v>EduSphere</c:v>
                  </c:pt>
                </c:lvl>
                <c:lvl>
                  <c:pt idx="0">
                    <c:v>C001</c:v>
                  </c:pt>
                  <c:pt idx="1">
                    <c:v>C002</c:v>
                  </c:pt>
                  <c:pt idx="2">
                    <c:v>C003</c:v>
                  </c:pt>
                  <c:pt idx="3">
                    <c:v>C004</c:v>
                  </c:pt>
                  <c:pt idx="4">
                    <c:v>C005</c:v>
                  </c:pt>
                  <c:pt idx="5">
                    <c:v>C006</c:v>
                  </c:pt>
                  <c:pt idx="6">
                    <c:v>C007</c:v>
                  </c:pt>
                </c:lvl>
              </c:multiLvlStrCache>
            </c:multiLvlStrRef>
          </c:cat>
          <c:val>
            <c:numRef>
              <c:f>Sheet1!$AF$2:$AF$8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5A-4663-8A6B-296037072F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161925</xdr:colOff>
      <xdr:row>8</xdr:row>
      <xdr:rowOff>100012</xdr:rowOff>
    </xdr:from>
    <xdr:to>
      <xdr:col>19</xdr:col>
      <xdr:colOff>857250</xdr:colOff>
      <xdr:row>21</xdr:row>
      <xdr:rowOff>176212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Q2" refreshedDate="46047.174787152777" createdVersion="6" refreshedVersion="6" minRefreshableVersion="3" recordCount="7">
  <cacheSource type="worksheet">
    <worksheetSource name="Table1"/>
  </cacheSource>
  <cacheFields count="32">
    <cacheField name="CompanyID" numFmtId="0">
      <sharedItems/>
    </cacheField>
    <cacheField name="CompanyName" numFmtId="0">
      <sharedItems count="7">
        <s v="TechNova Inc"/>
        <s v="GreenEdge Ltd"/>
        <s v="FinCore Bank"/>
        <s v="MedixCare Corp"/>
        <s v="AutoMotion AG"/>
        <s v="SkyLogix"/>
        <s v="EduSphere"/>
      </sharedItems>
    </cacheField>
    <cacheField name="Industry" numFmtId="0">
      <sharedItems/>
    </cacheField>
    <cacheField name="FoundedYear" numFmtId="0">
      <sharedItems containsSemiMixedTypes="0" containsString="0" containsNumber="1" containsInteger="1" minValue="1985" maxValue="2016"/>
    </cacheField>
    <cacheField name="Employees" numFmtId="0">
      <sharedItems containsSemiMixedTypes="0" containsString="0" containsNumber="1" containsInteger="1" minValue="600" maxValue="7800"/>
    </cacheField>
    <cacheField name="CEO" numFmtId="0">
      <sharedItems/>
    </cacheField>
    <cacheField name="Headquarters" numFmtId="0">
      <sharedItems count="7">
        <s v="Silicon Valley"/>
        <s v="Canary Wharf"/>
        <s v="Central District"/>
        <s v="Downtown"/>
        <s v="Industrial Zone"/>
        <s v="Free Zone"/>
        <s v="Tech Corridor"/>
      </sharedItems>
    </cacheField>
    <cacheField name="Country" numFmtId="0">
      <sharedItems/>
    </cacheField>
    <cacheField name="City" numFmtId="0">
      <sharedItems count="7">
        <s v="San Jose"/>
        <s v="London"/>
        <s v="Hong Kong"/>
        <s v="Toronto"/>
        <s v="Stuttgart"/>
        <s v="Dubai"/>
        <s v="Bengaluru"/>
      </sharedItems>
    </cacheField>
    <cacheField name="RevenueUSD" numFmtId="0">
      <sharedItems containsSemiMixedTypes="0" containsString="0" containsNumber="1" containsInteger="1" minValue="260000000" maxValue="3400000000" count="7">
        <n v="850000000"/>
        <n v="420000000"/>
        <n v="2100000000"/>
        <n v="980000000"/>
        <n v="3400000000"/>
        <n v="760000000"/>
        <n v="260000000"/>
      </sharedItems>
    </cacheField>
    <cacheField name="NetProfitUSD" numFmtId="0">
      <sharedItems containsSemiMixedTypes="0" containsString="0" containsNumber="1" containsInteger="1" minValue="42000000" maxValue="410000000"/>
    </cacheField>
    <cacheField name="MarketCapUSD" numFmtId="0">
      <sharedItems containsSemiMixedTypes="0" containsString="0" containsNumber="1" containsInteger="1" minValue="980000000" maxValue="10200000000"/>
    </cacheField>
    <cacheField name="Website" numFmtId="0">
      <sharedItems/>
    </cacheField>
    <cacheField name="Email" numFmtId="0">
      <sharedItems/>
    </cacheField>
    <cacheField name="Phone" numFmtId="0">
      <sharedItems containsSemiMixedTypes="0" containsString="0" containsNumber="1" containsInteger="1" minValue="-9021" maxValue="-1562"/>
    </cacheField>
    <cacheField name="Address" numFmtId="0">
      <sharedItems/>
    </cacheField>
    <cacheField name="PostalCode" numFmtId="0">
      <sharedItems containsMixedTypes="1" containsNumber="1" containsInteger="1" minValue="0" maxValue="999077"/>
    </cacheField>
    <cacheField name="TaxID" numFmtId="0">
      <sharedItems/>
    </cacheField>
    <cacheField name="RegistrationNo" numFmtId="0">
      <sharedItems/>
    </cacheField>
    <cacheField name="CompanyType" numFmtId="0">
      <sharedItems/>
    </cacheField>
    <cacheField name="Ownership" numFmtId="0">
      <sharedItems/>
    </cacheField>
    <cacheField name="AnnualGrowthPct" numFmtId="0">
      <sharedItems containsSemiMixedTypes="0" containsString="0" containsNumber="1" minValue="4.5999999999999996" maxValue="18.399999999999999"/>
    </cacheField>
    <cacheField name="RnDBudgetUSD" numFmtId="0">
      <sharedItems containsSemiMixedTypes="0" containsString="0" containsNumber="1" containsInteger="1" minValue="30000000" maxValue="210000000"/>
    </cacheField>
    <cacheField name="MarketingBudgetUSD" numFmtId="0">
      <sharedItems containsSemiMixedTypes="0" containsString="0" containsNumber="1" containsInteger="1" minValue="25000000" maxValue="130000000"/>
    </cacheField>
    <cacheField name="OperatingCostUSD" numFmtId="0">
      <sharedItems containsSemiMixedTypes="0" containsString="0" containsNumber="1" containsInteger="1" minValue="160000000" maxValue="2100000000"/>
    </cacheField>
    <cacheField name="CustomerCount" numFmtId="0">
      <sharedItems containsSemiMixedTypes="0" containsString="0" containsNumber="1" containsInteger="1" minValue="430000" maxValue="8200000"/>
    </cacheField>
    <cacheField name="PartnerCount" numFmtId="0">
      <sharedItems containsSemiMixedTypes="0" containsString="0" containsNumber="1" containsInteger="1" minValue="110" maxValue="680"/>
    </cacheField>
    <cacheField name="StockSymbol" numFmtId="0">
      <sharedItems/>
    </cacheField>
    <cacheField name="IPOYear" numFmtId="0">
      <sharedItems containsMixedTypes="1" containsNumber="1" containsInteger="1" minValue="1999" maxValue="2018"/>
    </cacheField>
    <cacheField name="ESGScore" numFmtId="0">
      <sharedItems containsSemiMixedTypes="0" containsString="0" containsNumber="1" containsInteger="1" minValue="70" maxValue="90"/>
    </cacheField>
    <cacheField name="CreditRating" numFmtId="0">
      <sharedItems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">
  <r>
    <s v="C001"/>
    <x v="0"/>
    <s v="Technology"/>
    <n v="2010"/>
    <n v="1200"/>
    <s v="Sarah Lee"/>
    <x v="0"/>
    <s v="USA"/>
    <x v="0"/>
    <x v="0"/>
    <n v="120000000"/>
    <n v="3200000000"/>
    <s v="www.technova.com"/>
    <s v="info@technova.com"/>
    <n v="-1564"/>
    <s v="101 Tech Park"/>
    <n v="95112"/>
    <s v="TX98123"/>
    <s v="REG1001"/>
    <s v="Public"/>
    <s v="Shareholders"/>
    <n v="12.5"/>
    <n v="90000000"/>
    <n v="60000000"/>
    <n v="500000000"/>
    <n v="1500000"/>
    <n v="320"/>
    <s v="TNV"/>
    <n v="2018"/>
    <n v="82"/>
    <s v="A"/>
    <s v="Active"/>
  </r>
  <r>
    <s v="C002"/>
    <x v="1"/>
    <s v="Renewable Energy"/>
    <n v="2014"/>
    <n v="600"/>
    <s v="Mark Jensen"/>
    <x v="1"/>
    <s v="UK"/>
    <x v="1"/>
    <x v="1"/>
    <n v="68000000"/>
    <n v="1400000000"/>
    <s v="www.greenedge.co.uk"/>
    <s v="contact@greenedge.co.uk"/>
    <n v="-2187"/>
    <s v="22 River Rd"/>
    <s v="E14 5AB"/>
    <s v="UK77221"/>
    <s v="REG1002"/>
    <s v="Private"/>
    <s v="Founders"/>
    <n v="15.2"/>
    <n v="40000000"/>
    <n v="25000000"/>
    <n v="260000000"/>
    <n v="430000"/>
    <n v="110"/>
    <s v="—"/>
    <s v="—"/>
    <n v="88"/>
    <s v="BBB+"/>
    <s v="Active"/>
  </r>
  <r>
    <s v="C003"/>
    <x v="2"/>
    <s v="Finance"/>
    <n v="1998"/>
    <n v="5400"/>
    <s v="Daniel Wu"/>
    <x v="2"/>
    <s v="Hong Kong"/>
    <x v="2"/>
    <x v="2"/>
    <n v="390000000"/>
    <n v="8900000000"/>
    <s v="www.fincore.com"/>
    <s v="support@fincore.com"/>
    <n v="-4707"/>
    <s v="88 Finance St"/>
    <n v="999077"/>
    <s v="HK99102"/>
    <s v="REG1003"/>
    <s v="Public"/>
    <s v="Institutional"/>
    <n v="6.8"/>
    <n v="120000000"/>
    <n v="90000000"/>
    <n v="1200000000"/>
    <n v="8200000"/>
    <n v="540"/>
    <s v="FCB"/>
    <n v="2005"/>
    <n v="75"/>
    <s v="A+"/>
    <s v="Active"/>
  </r>
  <r>
    <s v="C004"/>
    <x v="3"/>
    <s v="Healthcare"/>
    <n v="2005"/>
    <n v="3200"/>
    <s v="Laura Smith"/>
    <x v="3"/>
    <s v="Canada"/>
    <x v="3"/>
    <x v="3"/>
    <n v="150000000"/>
    <n v="4100000000"/>
    <s v="www.medixcare.ca"/>
    <s v="hello@medixcare.ca"/>
    <n v="-8203"/>
    <s v="77 Health Ave"/>
    <s v="M5H 2N2"/>
    <s v="CA55812"/>
    <s v="REG1004"/>
    <s v="Public"/>
    <s v="Shareholders"/>
    <n v="9.1"/>
    <n v="85000000"/>
    <n v="50000000"/>
    <n v="610000000"/>
    <n v="2300000"/>
    <n v="210"/>
    <s v="MDC"/>
    <n v="2012"/>
    <n v="90"/>
    <s v="AA"/>
    <s v="Active"/>
  </r>
  <r>
    <s v="C005"/>
    <x v="4"/>
    <s v="Automotive"/>
    <n v="1985"/>
    <n v="7800"/>
    <s v="Klaus Meier"/>
    <x v="4"/>
    <s v="Germany"/>
    <x v="4"/>
    <x v="4"/>
    <n v="410000000"/>
    <n v="10200000000"/>
    <s v="www.automotion.de"/>
    <s v="info@automotion.de"/>
    <n v="-1562"/>
    <s v="9 Motor Way"/>
    <n v="70173"/>
    <s v="DE33445"/>
    <s v="REG1005"/>
    <s v="Public"/>
    <s v="Family-Owned"/>
    <n v="4.5999999999999996"/>
    <n v="210000000"/>
    <n v="130000000"/>
    <n v="2100000000"/>
    <n v="5600000"/>
    <n v="680"/>
    <s v="AMG"/>
    <n v="1999"/>
    <n v="78"/>
    <s v="A"/>
    <s v="Active"/>
  </r>
  <r>
    <s v="C006"/>
    <x v="5"/>
    <s v="Logistics"/>
    <n v="2012"/>
    <n v="2100"/>
    <s v="Ahmed Khan"/>
    <x v="5"/>
    <s v="UAE"/>
    <x v="5"/>
    <x v="5"/>
    <n v="98000000"/>
    <n v="2600000000"/>
    <s v="www.skylogix.ae"/>
    <s v="ops@skylogix.ae"/>
    <n v="-9021"/>
    <s v="12 Cargo Blvd"/>
    <n v="0"/>
    <s v="AE88112"/>
    <s v="REG1006"/>
    <s v="Private"/>
    <s v="Investors"/>
    <n v="11.9"/>
    <n v="30000000"/>
    <n v="42000000"/>
    <n v="480000000"/>
    <n v="1800000"/>
    <n v="390"/>
    <s v="—"/>
    <s v="—"/>
    <n v="70"/>
    <s v="BBB"/>
    <s v="Active"/>
  </r>
  <r>
    <s v="C007"/>
    <x v="6"/>
    <s v="Education"/>
    <n v="2016"/>
    <n v="900"/>
    <s v="Priya Nair"/>
    <x v="6"/>
    <s v="India"/>
    <x v="6"/>
    <x v="6"/>
    <n v="42000000"/>
    <n v="980000000"/>
    <s v="www.edusphere.in"/>
    <s v="connect@edusphere.in"/>
    <n v="-5511"/>
    <s v="45 Knowledge Rd"/>
    <n v="560001"/>
    <s v="IN44012"/>
    <s v="REG1007"/>
    <s v="Private"/>
    <s v="Founders"/>
    <n v="18.399999999999999"/>
    <n v="35000000"/>
    <n v="28000000"/>
    <n v="160000000"/>
    <n v="3200000"/>
    <n v="150"/>
    <s v="—"/>
    <s v="—"/>
    <n v="85"/>
    <s v="BBB+"/>
    <s v="Activ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4:C19" firstHeaderRow="0" firstDataRow="1" firstDataCol="1" rowPageCount="2" colPageCount="1"/>
  <pivotFields count="32">
    <pivotField showAll="0"/>
    <pivotField axis="axisRow" showAll="0">
      <items count="8">
        <item x="4"/>
        <item x="6"/>
        <item x="2"/>
        <item x="1"/>
        <item x="3"/>
        <item x="5"/>
        <item x="0"/>
        <item t="default"/>
      </items>
    </pivotField>
    <pivotField showAll="0"/>
    <pivotField showAll="0"/>
    <pivotField showAll="0"/>
    <pivotField showAll="0"/>
    <pivotField axis="axisRow" dataField="1" showAll="0">
      <items count="8">
        <item x="1"/>
        <item x="2"/>
        <item x="3"/>
        <item x="5"/>
        <item x="4"/>
        <item x="0"/>
        <item x="6"/>
        <item t="default"/>
      </items>
    </pivotField>
    <pivotField showAll="0"/>
    <pivotField axis="axisPage" showAll="0">
      <items count="8">
        <item x="6"/>
        <item x="5"/>
        <item x="2"/>
        <item x="1"/>
        <item x="0"/>
        <item x="4"/>
        <item x="3"/>
        <item t="default"/>
      </items>
    </pivotField>
    <pivotField axis="axisPage" showAll="0">
      <items count="8">
        <item x="6"/>
        <item x="1"/>
        <item x="5"/>
        <item x="0"/>
        <item x="3"/>
        <item x="2"/>
        <item x="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"/>
    <field x="6"/>
  </rowFields>
  <rowItems count="15">
    <i>
      <x/>
    </i>
    <i r="1">
      <x v="4"/>
    </i>
    <i>
      <x v="1"/>
    </i>
    <i r="1">
      <x v="6"/>
    </i>
    <i>
      <x v="2"/>
    </i>
    <i r="1">
      <x v="1"/>
    </i>
    <i>
      <x v="3"/>
    </i>
    <i r="1">
      <x/>
    </i>
    <i>
      <x v="4"/>
    </i>
    <i r="1">
      <x v="2"/>
    </i>
    <i>
      <x v="5"/>
    </i>
    <i r="1">
      <x v="3"/>
    </i>
    <i>
      <x v="6"/>
    </i>
    <i r="1">
      <x v="5"/>
    </i>
    <i t="grand">
      <x/>
    </i>
  </rowItems>
  <colFields count="1">
    <field x="-2"/>
  </colFields>
  <colItems count="2">
    <i>
      <x/>
    </i>
    <i i="1">
      <x v="1"/>
    </i>
  </colItems>
  <pageFields count="2">
    <pageField fld="8" hier="-1"/>
    <pageField fld="9" hier="-1"/>
  </pageFields>
  <dataFields count="2">
    <dataField name="Count of Headquarters" fld="6" subtotal="count" baseField="0" baseItem="0"/>
    <dataField name="Count of Email" fld="1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AF8" totalsRowShown="0" headerRowDxfId="2" dataDxfId="3">
  <autoFilter ref="A1:AF8"/>
  <tableColumns count="32">
    <tableColumn id="1" name="CompanyID" dataDxfId="35"/>
    <tableColumn id="2" name="CompanyName" dataDxfId="34"/>
    <tableColumn id="3" name="Industry" dataDxfId="33"/>
    <tableColumn id="4" name="FoundedYear" dataDxfId="32"/>
    <tableColumn id="5" name="Employees" dataDxfId="31"/>
    <tableColumn id="6" name="CEO" dataDxfId="30"/>
    <tableColumn id="7" name="Headquarters" dataDxfId="29"/>
    <tableColumn id="8" name="Country" dataDxfId="28"/>
    <tableColumn id="9" name="City" dataDxfId="27"/>
    <tableColumn id="10" name="RevenueUSD" dataDxfId="26"/>
    <tableColumn id="11" name="NetProfitUSD" dataDxfId="25"/>
    <tableColumn id="12" name="MarketCapUSD" dataDxfId="24"/>
    <tableColumn id="13" name="Website" dataDxfId="23" dataCellStyle="Hyperlink"/>
    <tableColumn id="14" name="Email" dataDxfId="22" dataCellStyle="Hyperlink"/>
    <tableColumn id="15" name="Phone" dataDxfId="21"/>
    <tableColumn id="16" name="Address" dataDxfId="20"/>
    <tableColumn id="17" name="PostalCode" dataDxfId="19"/>
    <tableColumn id="18" name="TaxID" dataDxfId="18"/>
    <tableColumn id="19" name="RegistrationNo" dataDxfId="17"/>
    <tableColumn id="20" name="CompanyType" dataDxfId="16"/>
    <tableColumn id="21" name="Ownership" dataDxfId="15"/>
    <tableColumn id="22" name="AnnualGrowthPct" dataDxfId="14"/>
    <tableColumn id="23" name="RnDBudgetUSD" dataDxfId="13"/>
    <tableColumn id="24" name="MarketingBudgetUSD" dataDxfId="12"/>
    <tableColumn id="25" name="OperatingCostUSD" dataDxfId="11"/>
    <tableColumn id="26" name="CustomerCount" dataDxfId="10"/>
    <tableColumn id="27" name="PartnerCount" dataDxfId="9"/>
    <tableColumn id="28" name="StockSymbol" dataDxfId="8"/>
    <tableColumn id="29" name="IPOYear" dataDxfId="7"/>
    <tableColumn id="30" name="ESGScore" dataDxfId="6"/>
    <tableColumn id="31" name="CreditRating" dataDxfId="5"/>
    <tableColumn id="32" name="Status" dataDxfId="4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9:N19" totalsRowShown="0" headerRowDxfId="1">
  <autoFilter ref="A9:N19"/>
  <tableColumns count="14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hello@medixcare.ca" TargetMode="External"/><Relationship Id="rId13" Type="http://schemas.openxmlformats.org/officeDocument/2006/relationships/hyperlink" Target="http://www.edusphere.in/" TargetMode="External"/><Relationship Id="rId3" Type="http://schemas.openxmlformats.org/officeDocument/2006/relationships/hyperlink" Target="http://www.greenedge.co.uk/" TargetMode="External"/><Relationship Id="rId7" Type="http://schemas.openxmlformats.org/officeDocument/2006/relationships/hyperlink" Target="http://www.medixcare.ca/" TargetMode="External"/><Relationship Id="rId12" Type="http://schemas.openxmlformats.org/officeDocument/2006/relationships/hyperlink" Target="mailto:ops@skylogix.ae" TargetMode="External"/><Relationship Id="rId17" Type="http://schemas.openxmlformats.org/officeDocument/2006/relationships/table" Target="../tables/table2.xml"/><Relationship Id="rId2" Type="http://schemas.openxmlformats.org/officeDocument/2006/relationships/hyperlink" Target="mailto:info@technova.com" TargetMode="External"/><Relationship Id="rId16" Type="http://schemas.openxmlformats.org/officeDocument/2006/relationships/table" Target="../tables/table1.xml"/><Relationship Id="rId1" Type="http://schemas.openxmlformats.org/officeDocument/2006/relationships/hyperlink" Target="http://www.technova.com/" TargetMode="External"/><Relationship Id="rId6" Type="http://schemas.openxmlformats.org/officeDocument/2006/relationships/hyperlink" Target="mailto:support@fincore.com" TargetMode="External"/><Relationship Id="rId11" Type="http://schemas.openxmlformats.org/officeDocument/2006/relationships/hyperlink" Target="http://www.skylogix.ae/" TargetMode="External"/><Relationship Id="rId5" Type="http://schemas.openxmlformats.org/officeDocument/2006/relationships/hyperlink" Target="http://www.fincore.com/" TargetMode="External"/><Relationship Id="rId15" Type="http://schemas.openxmlformats.org/officeDocument/2006/relationships/drawing" Target="../drawings/drawing1.xml"/><Relationship Id="rId10" Type="http://schemas.openxmlformats.org/officeDocument/2006/relationships/hyperlink" Target="mailto:info@automotion.de" TargetMode="External"/><Relationship Id="rId4" Type="http://schemas.openxmlformats.org/officeDocument/2006/relationships/hyperlink" Target="mailto:contact@greenedge.co.uk" TargetMode="External"/><Relationship Id="rId9" Type="http://schemas.openxmlformats.org/officeDocument/2006/relationships/hyperlink" Target="http://www.automotion.de/" TargetMode="External"/><Relationship Id="rId14" Type="http://schemas.openxmlformats.org/officeDocument/2006/relationships/hyperlink" Target="mailto:connect@edusphere.in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selection activeCell="B42" sqref="B42"/>
    </sheetView>
  </sheetViews>
  <sheetFormatPr defaultRowHeight="15" x14ac:dyDescent="0.25"/>
  <cols>
    <col min="1" max="1" width="18.140625" bestFit="1" customWidth="1"/>
    <col min="2" max="2" width="21.42578125" customWidth="1"/>
    <col min="3" max="3" width="14" bestFit="1" customWidth="1"/>
  </cols>
  <sheetData>
    <row r="1" spans="1:3" x14ac:dyDescent="0.25">
      <c r="A1" s="4" t="s">
        <v>8</v>
      </c>
      <c r="B1" t="s">
        <v>163</v>
      </c>
    </row>
    <row r="2" spans="1:3" x14ac:dyDescent="0.25">
      <c r="A2" s="4" t="s">
        <v>9</v>
      </c>
      <c r="B2" t="s">
        <v>163</v>
      </c>
    </row>
    <row r="4" spans="1:3" x14ac:dyDescent="0.25">
      <c r="A4" s="4" t="s">
        <v>161</v>
      </c>
      <c r="B4" t="s">
        <v>164</v>
      </c>
      <c r="C4" t="s">
        <v>165</v>
      </c>
    </row>
    <row r="5" spans="1:3" x14ac:dyDescent="0.25">
      <c r="A5" s="5" t="s">
        <v>96</v>
      </c>
      <c r="B5" s="7">
        <v>1</v>
      </c>
      <c r="C5" s="7">
        <v>1</v>
      </c>
    </row>
    <row r="6" spans="1:3" x14ac:dyDescent="0.25">
      <c r="A6" s="6" t="s">
        <v>99</v>
      </c>
      <c r="B6" s="7">
        <v>1</v>
      </c>
      <c r="C6" s="7">
        <v>1</v>
      </c>
    </row>
    <row r="7" spans="1:3" x14ac:dyDescent="0.25">
      <c r="A7" s="5" t="s">
        <v>124</v>
      </c>
      <c r="B7" s="7">
        <v>1</v>
      </c>
      <c r="C7" s="7">
        <v>1</v>
      </c>
    </row>
    <row r="8" spans="1:3" x14ac:dyDescent="0.25">
      <c r="A8" s="6" t="s">
        <v>127</v>
      </c>
      <c r="B8" s="7">
        <v>1</v>
      </c>
      <c r="C8" s="7">
        <v>1</v>
      </c>
    </row>
    <row r="9" spans="1:3" x14ac:dyDescent="0.25">
      <c r="A9" s="5" t="s">
        <v>67</v>
      </c>
      <c r="B9" s="7">
        <v>1</v>
      </c>
      <c r="C9" s="7">
        <v>1</v>
      </c>
    </row>
    <row r="10" spans="1:3" x14ac:dyDescent="0.25">
      <c r="A10" s="6" t="s">
        <v>70</v>
      </c>
      <c r="B10" s="7">
        <v>1</v>
      </c>
      <c r="C10" s="7">
        <v>1</v>
      </c>
    </row>
    <row r="11" spans="1:3" x14ac:dyDescent="0.25">
      <c r="A11" s="5" t="s">
        <v>50</v>
      </c>
      <c r="B11" s="7">
        <v>1</v>
      </c>
      <c r="C11" s="7">
        <v>1</v>
      </c>
    </row>
    <row r="12" spans="1:3" x14ac:dyDescent="0.25">
      <c r="A12" s="6" t="s">
        <v>53</v>
      </c>
      <c r="B12" s="7">
        <v>1</v>
      </c>
      <c r="C12" s="7">
        <v>1</v>
      </c>
    </row>
    <row r="13" spans="1:3" x14ac:dyDescent="0.25">
      <c r="A13" s="5" t="s">
        <v>81</v>
      </c>
      <c r="B13" s="7">
        <v>1</v>
      </c>
      <c r="C13" s="7">
        <v>1</v>
      </c>
    </row>
    <row r="14" spans="1:3" x14ac:dyDescent="0.25">
      <c r="A14" s="6" t="s">
        <v>84</v>
      </c>
      <c r="B14" s="7">
        <v>1</v>
      </c>
      <c r="C14" s="7">
        <v>1</v>
      </c>
    </row>
    <row r="15" spans="1:3" x14ac:dyDescent="0.25">
      <c r="A15" s="5" t="s">
        <v>110</v>
      </c>
      <c r="B15" s="7">
        <v>1</v>
      </c>
      <c r="C15" s="7">
        <v>1</v>
      </c>
    </row>
    <row r="16" spans="1:3" x14ac:dyDescent="0.25">
      <c r="A16" s="6" t="s">
        <v>113</v>
      </c>
      <c r="B16" s="7">
        <v>1</v>
      </c>
      <c r="C16" s="7">
        <v>1</v>
      </c>
    </row>
    <row r="17" spans="1:3" x14ac:dyDescent="0.25">
      <c r="A17" s="5" t="s">
        <v>33</v>
      </c>
      <c r="B17" s="7">
        <v>1</v>
      </c>
      <c r="C17" s="7">
        <v>1</v>
      </c>
    </row>
    <row r="18" spans="1:3" x14ac:dyDescent="0.25">
      <c r="A18" s="6" t="s">
        <v>36</v>
      </c>
      <c r="B18" s="7">
        <v>1</v>
      </c>
      <c r="C18" s="7">
        <v>1</v>
      </c>
    </row>
    <row r="19" spans="1:3" x14ac:dyDescent="0.25">
      <c r="A19" s="5" t="s">
        <v>162</v>
      </c>
      <c r="B19" s="7">
        <v>7</v>
      </c>
      <c r="C19" s="7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9"/>
  <sheetViews>
    <sheetView tabSelected="1" workbookViewId="0">
      <selection activeCell="D24" sqref="D24"/>
    </sheetView>
  </sheetViews>
  <sheetFormatPr defaultRowHeight="15" x14ac:dyDescent="0.25"/>
  <cols>
    <col min="1" max="1" width="13.28515625" customWidth="1"/>
    <col min="2" max="2" width="16.7109375" customWidth="1"/>
    <col min="3" max="3" width="11" customWidth="1"/>
    <col min="4" max="4" width="15" customWidth="1"/>
    <col min="5" max="5" width="12.85546875" customWidth="1"/>
    <col min="6" max="6" width="11" customWidth="1"/>
    <col min="7" max="7" width="15.140625" customWidth="1"/>
    <col min="8" max="9" width="11" customWidth="1"/>
    <col min="10" max="10" width="14.7109375" customWidth="1"/>
    <col min="11" max="11" width="15.140625" customWidth="1"/>
    <col min="12" max="12" width="16.5703125" customWidth="1"/>
    <col min="13" max="14" width="12" customWidth="1"/>
    <col min="16" max="16" width="10.28515625" customWidth="1"/>
    <col min="17" max="17" width="13.140625" customWidth="1"/>
    <col min="19" max="19" width="16.42578125" customWidth="1"/>
    <col min="20" max="20" width="15.7109375" customWidth="1"/>
    <col min="21" max="21" width="12.85546875" customWidth="1"/>
    <col min="22" max="22" width="18.85546875" customWidth="1"/>
    <col min="23" max="23" width="16.7109375" customWidth="1"/>
    <col min="24" max="24" width="22.28515625" customWidth="1"/>
    <col min="25" max="25" width="19.5703125" customWidth="1"/>
    <col min="26" max="26" width="17" customWidth="1"/>
    <col min="27" max="27" width="15" customWidth="1"/>
    <col min="28" max="28" width="14.42578125" customWidth="1"/>
    <col min="29" max="29" width="10.28515625" customWidth="1"/>
    <col min="30" max="30" width="11.42578125" customWidth="1"/>
    <col min="31" max="31" width="14.140625" customWidth="1"/>
  </cols>
  <sheetData>
    <row r="1" spans="1:32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30" x14ac:dyDescent="0.25">
      <c r="A2" s="2" t="s">
        <v>32</v>
      </c>
      <c r="B2" s="2" t="s">
        <v>33</v>
      </c>
      <c r="C2" s="2" t="s">
        <v>34</v>
      </c>
      <c r="D2" s="2">
        <v>2010</v>
      </c>
      <c r="E2" s="2">
        <v>1200</v>
      </c>
      <c r="F2" s="2" t="s">
        <v>35</v>
      </c>
      <c r="G2" s="2" t="s">
        <v>36</v>
      </c>
      <c r="H2" s="2" t="s">
        <v>37</v>
      </c>
      <c r="I2" s="2" t="s">
        <v>38</v>
      </c>
      <c r="J2" s="2">
        <v>850000000</v>
      </c>
      <c r="K2" s="2">
        <v>120000000</v>
      </c>
      <c r="L2" s="2">
        <v>3200000000</v>
      </c>
      <c r="M2" s="3" t="s">
        <v>39</v>
      </c>
      <c r="N2" s="3" t="s">
        <v>40</v>
      </c>
      <c r="O2" s="2">
        <f>1-555-1010</f>
        <v>-1564</v>
      </c>
      <c r="P2" s="2" t="s">
        <v>41</v>
      </c>
      <c r="Q2" s="2">
        <v>95112</v>
      </c>
      <c r="R2" s="2" t="s">
        <v>42</v>
      </c>
      <c r="S2" s="2" t="s">
        <v>43</v>
      </c>
      <c r="T2" s="2" t="s">
        <v>44</v>
      </c>
      <c r="U2" s="2" t="s">
        <v>45</v>
      </c>
      <c r="V2" s="2">
        <v>12.5</v>
      </c>
      <c r="W2" s="2">
        <v>90000000</v>
      </c>
      <c r="X2" s="2">
        <v>60000000</v>
      </c>
      <c r="Y2" s="2">
        <v>500000000</v>
      </c>
      <c r="Z2" s="2">
        <v>1500000</v>
      </c>
      <c r="AA2" s="2">
        <v>320</v>
      </c>
      <c r="AB2" s="2" t="s">
        <v>46</v>
      </c>
      <c r="AC2" s="2">
        <v>2018</v>
      </c>
      <c r="AD2" s="2">
        <v>82</v>
      </c>
      <c r="AE2" s="2" t="s">
        <v>47</v>
      </c>
      <c r="AF2" s="2" t="s">
        <v>48</v>
      </c>
    </row>
    <row r="3" spans="1:32" ht="60" x14ac:dyDescent="0.25">
      <c r="A3" s="2" t="s">
        <v>49</v>
      </c>
      <c r="B3" s="2" t="s">
        <v>50</v>
      </c>
      <c r="C3" s="2" t="s">
        <v>51</v>
      </c>
      <c r="D3" s="2">
        <v>2014</v>
      </c>
      <c r="E3" s="2">
        <v>600</v>
      </c>
      <c r="F3" s="2" t="s">
        <v>52</v>
      </c>
      <c r="G3" s="2" t="s">
        <v>53</v>
      </c>
      <c r="H3" s="2" t="s">
        <v>54</v>
      </c>
      <c r="I3" s="2" t="s">
        <v>55</v>
      </c>
      <c r="J3" s="2">
        <v>420000000</v>
      </c>
      <c r="K3" s="2">
        <v>68000000</v>
      </c>
      <c r="L3" s="2">
        <v>1400000000</v>
      </c>
      <c r="M3" s="3" t="s">
        <v>56</v>
      </c>
      <c r="N3" s="3" t="s">
        <v>57</v>
      </c>
      <c r="O3" s="2">
        <f>44-20-2211</f>
        <v>-2187</v>
      </c>
      <c r="P3" s="2" t="s">
        <v>58</v>
      </c>
      <c r="Q3" s="2" t="s">
        <v>59</v>
      </c>
      <c r="R3" s="2" t="s">
        <v>60</v>
      </c>
      <c r="S3" s="2" t="s">
        <v>61</v>
      </c>
      <c r="T3" s="2" t="s">
        <v>62</v>
      </c>
      <c r="U3" s="2" t="s">
        <v>63</v>
      </c>
      <c r="V3" s="2">
        <v>15.2</v>
      </c>
      <c r="W3" s="2">
        <v>40000000</v>
      </c>
      <c r="X3" s="2">
        <v>25000000</v>
      </c>
      <c r="Y3" s="2">
        <v>260000000</v>
      </c>
      <c r="Z3" s="2">
        <v>430000</v>
      </c>
      <c r="AA3" s="2">
        <v>110</v>
      </c>
      <c r="AB3" s="2" t="s">
        <v>64</v>
      </c>
      <c r="AC3" s="2" t="s">
        <v>64</v>
      </c>
      <c r="AD3" s="2">
        <v>88</v>
      </c>
      <c r="AE3" s="2" t="s">
        <v>65</v>
      </c>
      <c r="AF3" s="2" t="s">
        <v>48</v>
      </c>
    </row>
    <row r="4" spans="1:32" ht="45" x14ac:dyDescent="0.25">
      <c r="A4" s="2" t="s">
        <v>66</v>
      </c>
      <c r="B4" s="2" t="s">
        <v>67</v>
      </c>
      <c r="C4" s="2" t="s">
        <v>68</v>
      </c>
      <c r="D4" s="2">
        <v>1998</v>
      </c>
      <c r="E4" s="2">
        <v>5400</v>
      </c>
      <c r="F4" s="2" t="s">
        <v>69</v>
      </c>
      <c r="G4" s="2" t="s">
        <v>70</v>
      </c>
      <c r="H4" s="2" t="s">
        <v>71</v>
      </c>
      <c r="I4" s="2" t="s">
        <v>71</v>
      </c>
      <c r="J4" s="2">
        <v>2100000000</v>
      </c>
      <c r="K4" s="2">
        <v>390000000</v>
      </c>
      <c r="L4" s="2">
        <v>8900000000</v>
      </c>
      <c r="M4" s="3" t="s">
        <v>72</v>
      </c>
      <c r="N4" s="3" t="s">
        <v>73</v>
      </c>
      <c r="O4" s="2">
        <f>852-5559</f>
        <v>-4707</v>
      </c>
      <c r="P4" s="2" t="s">
        <v>74</v>
      </c>
      <c r="Q4" s="2">
        <v>999077</v>
      </c>
      <c r="R4" s="2" t="s">
        <v>75</v>
      </c>
      <c r="S4" s="2" t="s">
        <v>76</v>
      </c>
      <c r="T4" s="2" t="s">
        <v>44</v>
      </c>
      <c r="U4" s="2" t="s">
        <v>77</v>
      </c>
      <c r="V4" s="2">
        <v>6.8</v>
      </c>
      <c r="W4" s="2">
        <v>120000000</v>
      </c>
      <c r="X4" s="2">
        <v>90000000</v>
      </c>
      <c r="Y4" s="2">
        <v>1200000000</v>
      </c>
      <c r="Z4" s="2">
        <v>8200000</v>
      </c>
      <c r="AA4" s="2">
        <v>540</v>
      </c>
      <c r="AB4" s="2" t="s">
        <v>78</v>
      </c>
      <c r="AC4" s="2">
        <v>2005</v>
      </c>
      <c r="AD4" s="2">
        <v>75</v>
      </c>
      <c r="AE4" s="2" t="s">
        <v>79</v>
      </c>
      <c r="AF4" s="2" t="s">
        <v>48</v>
      </c>
    </row>
    <row r="5" spans="1:32" ht="45" x14ac:dyDescent="0.25">
      <c r="A5" s="2" t="s">
        <v>80</v>
      </c>
      <c r="B5" s="2" t="s">
        <v>81</v>
      </c>
      <c r="C5" s="2" t="s">
        <v>82</v>
      </c>
      <c r="D5" s="2">
        <v>2005</v>
      </c>
      <c r="E5" s="2">
        <v>3200</v>
      </c>
      <c r="F5" s="2" t="s">
        <v>83</v>
      </c>
      <c r="G5" s="2" t="s">
        <v>84</v>
      </c>
      <c r="H5" s="2" t="s">
        <v>85</v>
      </c>
      <c r="I5" s="2" t="s">
        <v>86</v>
      </c>
      <c r="J5" s="2">
        <v>980000000</v>
      </c>
      <c r="K5" s="2">
        <v>150000000</v>
      </c>
      <c r="L5" s="2">
        <v>4100000000</v>
      </c>
      <c r="M5" s="3" t="s">
        <v>87</v>
      </c>
      <c r="N5" s="3" t="s">
        <v>88</v>
      </c>
      <c r="O5" s="2">
        <f>1-416-7788</f>
        <v>-8203</v>
      </c>
      <c r="P5" s="2" t="s">
        <v>89</v>
      </c>
      <c r="Q5" s="2" t="s">
        <v>90</v>
      </c>
      <c r="R5" s="2" t="s">
        <v>91</v>
      </c>
      <c r="S5" s="2" t="s">
        <v>92</v>
      </c>
      <c r="T5" s="2" t="s">
        <v>44</v>
      </c>
      <c r="U5" s="2" t="s">
        <v>45</v>
      </c>
      <c r="V5" s="2">
        <v>9.1</v>
      </c>
      <c r="W5" s="2">
        <v>85000000</v>
      </c>
      <c r="X5" s="2">
        <v>50000000</v>
      </c>
      <c r="Y5" s="2">
        <v>610000000</v>
      </c>
      <c r="Z5" s="2">
        <v>2300000</v>
      </c>
      <c r="AA5" s="2">
        <v>210</v>
      </c>
      <c r="AB5" s="2" t="s">
        <v>93</v>
      </c>
      <c r="AC5" s="2">
        <v>2012</v>
      </c>
      <c r="AD5" s="2">
        <v>90</v>
      </c>
      <c r="AE5" s="2" t="s">
        <v>94</v>
      </c>
      <c r="AF5" s="2" t="s">
        <v>48</v>
      </c>
    </row>
    <row r="6" spans="1:32" ht="45" x14ac:dyDescent="0.25">
      <c r="A6" s="2" t="s">
        <v>95</v>
      </c>
      <c r="B6" s="2" t="s">
        <v>96</v>
      </c>
      <c r="C6" s="2" t="s">
        <v>97</v>
      </c>
      <c r="D6" s="2">
        <v>1985</v>
      </c>
      <c r="E6" s="2">
        <v>7800</v>
      </c>
      <c r="F6" s="2" t="s">
        <v>98</v>
      </c>
      <c r="G6" s="2" t="s">
        <v>99</v>
      </c>
      <c r="H6" s="2" t="s">
        <v>100</v>
      </c>
      <c r="I6" s="2" t="s">
        <v>101</v>
      </c>
      <c r="J6" s="2">
        <v>3400000000</v>
      </c>
      <c r="K6" s="2">
        <v>410000000</v>
      </c>
      <c r="L6" s="2">
        <v>10200000000</v>
      </c>
      <c r="M6" s="3" t="s">
        <v>102</v>
      </c>
      <c r="N6" s="3" t="s">
        <v>103</v>
      </c>
      <c r="O6" s="2">
        <f>49-711-900</f>
        <v>-1562</v>
      </c>
      <c r="P6" s="2" t="s">
        <v>104</v>
      </c>
      <c r="Q6" s="2">
        <v>70173</v>
      </c>
      <c r="R6" s="2" t="s">
        <v>105</v>
      </c>
      <c r="S6" s="2" t="s">
        <v>106</v>
      </c>
      <c r="T6" s="2" t="s">
        <v>44</v>
      </c>
      <c r="U6" s="2" t="s">
        <v>107</v>
      </c>
      <c r="V6" s="2">
        <v>4.5999999999999996</v>
      </c>
      <c r="W6" s="2">
        <v>210000000</v>
      </c>
      <c r="X6" s="2">
        <v>130000000</v>
      </c>
      <c r="Y6" s="2">
        <v>2100000000</v>
      </c>
      <c r="Z6" s="2">
        <v>5600000</v>
      </c>
      <c r="AA6" s="2">
        <v>680</v>
      </c>
      <c r="AB6" s="2" t="s">
        <v>108</v>
      </c>
      <c r="AC6" s="2">
        <v>1999</v>
      </c>
      <c r="AD6" s="2">
        <v>78</v>
      </c>
      <c r="AE6" s="2" t="s">
        <v>47</v>
      </c>
      <c r="AF6" s="2" t="s">
        <v>48</v>
      </c>
    </row>
    <row r="7" spans="1:32" ht="30" x14ac:dyDescent="0.25">
      <c r="A7" s="2" t="s">
        <v>109</v>
      </c>
      <c r="B7" s="2" t="s">
        <v>110</v>
      </c>
      <c r="C7" s="2" t="s">
        <v>111</v>
      </c>
      <c r="D7" s="2">
        <v>2012</v>
      </c>
      <c r="E7" s="2">
        <v>2100</v>
      </c>
      <c r="F7" s="2" t="s">
        <v>112</v>
      </c>
      <c r="G7" s="2" t="s">
        <v>113</v>
      </c>
      <c r="H7" s="2" t="s">
        <v>114</v>
      </c>
      <c r="I7" s="2" t="s">
        <v>115</v>
      </c>
      <c r="J7" s="2">
        <v>760000000</v>
      </c>
      <c r="K7" s="2">
        <v>98000000</v>
      </c>
      <c r="L7" s="2">
        <v>2600000000</v>
      </c>
      <c r="M7" s="3" t="s">
        <v>116</v>
      </c>
      <c r="N7" s="3" t="s">
        <v>117</v>
      </c>
      <c r="O7" s="2">
        <f>971-4-9988</f>
        <v>-9021</v>
      </c>
      <c r="P7" s="2" t="s">
        <v>118</v>
      </c>
      <c r="Q7" s="2">
        <v>0</v>
      </c>
      <c r="R7" s="2" t="s">
        <v>119</v>
      </c>
      <c r="S7" s="2" t="s">
        <v>120</v>
      </c>
      <c r="T7" s="2" t="s">
        <v>62</v>
      </c>
      <c r="U7" s="2" t="s">
        <v>121</v>
      </c>
      <c r="V7" s="2">
        <v>11.9</v>
      </c>
      <c r="W7" s="2">
        <v>30000000</v>
      </c>
      <c r="X7" s="2">
        <v>42000000</v>
      </c>
      <c r="Y7" s="2">
        <v>480000000</v>
      </c>
      <c r="Z7" s="2">
        <v>1800000</v>
      </c>
      <c r="AA7" s="2">
        <v>390</v>
      </c>
      <c r="AB7" s="2" t="s">
        <v>64</v>
      </c>
      <c r="AC7" s="2" t="s">
        <v>64</v>
      </c>
      <c r="AD7" s="2">
        <v>70</v>
      </c>
      <c r="AE7" s="2" t="s">
        <v>122</v>
      </c>
      <c r="AF7" s="2" t="s">
        <v>48</v>
      </c>
    </row>
    <row r="8" spans="1:32" ht="45" x14ac:dyDescent="0.25">
      <c r="A8" s="2" t="s">
        <v>123</v>
      </c>
      <c r="B8" s="2" t="s">
        <v>124</v>
      </c>
      <c r="C8" s="2" t="s">
        <v>125</v>
      </c>
      <c r="D8" s="2">
        <v>2016</v>
      </c>
      <c r="E8" s="2">
        <v>900</v>
      </c>
      <c r="F8" s="2" t="s">
        <v>126</v>
      </c>
      <c r="G8" s="2" t="s">
        <v>127</v>
      </c>
      <c r="H8" s="2" t="s">
        <v>128</v>
      </c>
      <c r="I8" s="2" t="s">
        <v>129</v>
      </c>
      <c r="J8" s="2">
        <v>260000000</v>
      </c>
      <c r="K8" s="2">
        <v>42000000</v>
      </c>
      <c r="L8" s="2">
        <v>980000000</v>
      </c>
      <c r="M8" s="3" t="s">
        <v>130</v>
      </c>
      <c r="N8" s="3" t="s">
        <v>131</v>
      </c>
      <c r="O8" s="2">
        <f>91-80-5522</f>
        <v>-5511</v>
      </c>
      <c r="P8" s="2" t="s">
        <v>132</v>
      </c>
      <c r="Q8" s="2">
        <v>560001</v>
      </c>
      <c r="R8" s="2" t="s">
        <v>133</v>
      </c>
      <c r="S8" s="2" t="s">
        <v>134</v>
      </c>
      <c r="T8" s="2" t="s">
        <v>62</v>
      </c>
      <c r="U8" s="2" t="s">
        <v>63</v>
      </c>
      <c r="V8" s="2">
        <v>18.399999999999999</v>
      </c>
      <c r="W8" s="2">
        <v>35000000</v>
      </c>
      <c r="X8" s="2">
        <v>28000000</v>
      </c>
      <c r="Y8" s="2">
        <v>160000000</v>
      </c>
      <c r="Z8" s="2">
        <v>3200000</v>
      </c>
      <c r="AA8" s="2">
        <v>150</v>
      </c>
      <c r="AB8" s="2" t="s">
        <v>64</v>
      </c>
      <c r="AC8" s="2" t="s">
        <v>64</v>
      </c>
      <c r="AD8" s="2">
        <v>85</v>
      </c>
      <c r="AE8" s="2" t="s">
        <v>65</v>
      </c>
      <c r="AF8" s="2" t="s">
        <v>48</v>
      </c>
    </row>
    <row r="9" spans="1:32" x14ac:dyDescent="0.25">
      <c r="A9" s="2" t="s">
        <v>147</v>
      </c>
      <c r="B9" s="2" t="s">
        <v>148</v>
      </c>
      <c r="C9" s="2" t="s">
        <v>149</v>
      </c>
      <c r="D9" s="2" t="s">
        <v>150</v>
      </c>
      <c r="E9" s="2" t="s">
        <v>151</v>
      </c>
      <c r="F9" s="2" t="s">
        <v>152</v>
      </c>
      <c r="G9" s="2" t="s">
        <v>153</v>
      </c>
      <c r="H9" s="2" t="s">
        <v>154</v>
      </c>
      <c r="I9" s="2" t="s">
        <v>155</v>
      </c>
      <c r="J9" s="2" t="s">
        <v>156</v>
      </c>
      <c r="K9" s="2" t="s">
        <v>157</v>
      </c>
      <c r="L9" t="s">
        <v>158</v>
      </c>
      <c r="M9" s="2" t="s">
        <v>159</v>
      </c>
      <c r="N9" t="s">
        <v>160</v>
      </c>
    </row>
    <row r="10" spans="1:32" ht="30" x14ac:dyDescent="0.25">
      <c r="A10" s="2" t="s">
        <v>135</v>
      </c>
      <c r="B10" s="2" t="s">
        <v>136</v>
      </c>
      <c r="C10" s="2" t="s">
        <v>137</v>
      </c>
      <c r="D10" s="2" t="s">
        <v>138</v>
      </c>
      <c r="E10" s="2" t="s">
        <v>139</v>
      </c>
      <c r="F10" s="2" t="s">
        <v>140</v>
      </c>
      <c r="G10" s="2" t="s">
        <v>141</v>
      </c>
      <c r="H10" s="2" t="s">
        <v>142</v>
      </c>
      <c r="I10" s="2" t="s">
        <v>143</v>
      </c>
      <c r="J10" s="2" t="s">
        <v>144</v>
      </c>
      <c r="K10" s="2" t="s">
        <v>145</v>
      </c>
      <c r="M10" s="2" t="s">
        <v>146</v>
      </c>
    </row>
    <row r="11" spans="1:32" x14ac:dyDescent="0.25">
      <c r="A11">
        <f>SUM(D2:D3)</f>
        <v>4024</v>
      </c>
      <c r="B11">
        <f>SUMIF(E2:E8,"&gt;1500")</f>
        <v>18500</v>
      </c>
      <c r="C11" t="str">
        <f>IF(E2&lt;600,"p","f")</f>
        <v>f</v>
      </c>
      <c r="D11">
        <f>COUNTIF(E2:E8,"&gt;1500")</f>
        <v>4</v>
      </c>
      <c r="E11">
        <f>COUNT(E2:E8)</f>
        <v>7</v>
      </c>
      <c r="F11">
        <f>VLOOKUP(A2,A1:AD8,4,FALSE)</f>
        <v>2010</v>
      </c>
      <c r="G11">
        <f>MIN(D2:D8)</f>
        <v>1985</v>
      </c>
      <c r="H11">
        <f>MAX(D2:D8)</f>
        <v>2016</v>
      </c>
      <c r="I11">
        <f>AVERAGE(D2,E3)</f>
        <v>1305</v>
      </c>
      <c r="J11">
        <f>(100*D3)/E4</f>
        <v>37.296296296296298</v>
      </c>
      <c r="K11" t="str">
        <f>UPPER(B2)</f>
        <v>TECHNOVA INC</v>
      </c>
      <c r="M11" t="str">
        <f>LOWER(G2)</f>
        <v>silicon valley</v>
      </c>
    </row>
    <row r="12" spans="1:32" x14ac:dyDescent="0.25">
      <c r="A12">
        <f>SUM(D3:D4)</f>
        <v>4012</v>
      </c>
      <c r="B12">
        <f>SUMIF(E3:E10,"&gt;1500")</f>
        <v>18500</v>
      </c>
      <c r="C12" t="str">
        <f>IF(E3&lt;600,"p","f")</f>
        <v>f</v>
      </c>
      <c r="D12">
        <f>COUNTIF(E3:E10,"&gt;1500")</f>
        <v>4</v>
      </c>
      <c r="E12">
        <f>COUNT(E3:E10)</f>
        <v>6</v>
      </c>
      <c r="F12">
        <f>VLOOKUP(A3,A2:AD9,4,FALSE)</f>
        <v>2014</v>
      </c>
      <c r="G12">
        <f>MIN(D3:D10)</f>
        <v>1985</v>
      </c>
      <c r="H12">
        <f>MAX(D3:D10)</f>
        <v>2016</v>
      </c>
      <c r="I12">
        <f>AVERAGE(D3,E4)</f>
        <v>3707</v>
      </c>
      <c r="J12">
        <f>(100*D4)/E5</f>
        <v>62.4375</v>
      </c>
      <c r="K12" t="str">
        <f>UPPER(B3)</f>
        <v>GREENEDGE LTD</v>
      </c>
      <c r="M12" t="str">
        <f>LOWER(G3)</f>
        <v>canary wharf</v>
      </c>
    </row>
    <row r="13" spans="1:32" x14ac:dyDescent="0.25">
      <c r="A13">
        <f>SUM(D4:D5)</f>
        <v>4003</v>
      </c>
      <c r="B13">
        <f>SUMIF(E4:E11,"&gt;1500")</f>
        <v>18500</v>
      </c>
      <c r="C13" t="str">
        <f>IF(E4&lt;600,"p","f")</f>
        <v>f</v>
      </c>
      <c r="D13">
        <f>COUNTIF(E4:E11,"&gt;1500")</f>
        <v>4</v>
      </c>
      <c r="E13">
        <f>COUNT(E4:E11)</f>
        <v>6</v>
      </c>
      <c r="F13">
        <f>VLOOKUP(A4,A3:AD10,4,FALSE)</f>
        <v>1998</v>
      </c>
      <c r="G13">
        <f>MIN(D4:D11)</f>
        <v>4</v>
      </c>
      <c r="H13">
        <f>MAX(D4:D11)</f>
        <v>2016</v>
      </c>
      <c r="I13">
        <f>AVERAGE(D4,E5)</f>
        <v>2599</v>
      </c>
      <c r="J13">
        <f>(100*D5)/E6</f>
        <v>25.705128205128204</v>
      </c>
      <c r="K13" t="str">
        <f>UPPER(B4)</f>
        <v>FINCORE BANK</v>
      </c>
      <c r="M13" t="str">
        <f>LOWER(G4)</f>
        <v>central district</v>
      </c>
    </row>
    <row r="14" spans="1:32" x14ac:dyDescent="0.25">
      <c r="A14">
        <f>SUM(D5:D6)</f>
        <v>3990</v>
      </c>
      <c r="B14">
        <f>SUMIF(E5:E12,"&gt;1500")</f>
        <v>13100</v>
      </c>
      <c r="C14" t="str">
        <f>IF(E5&lt;600,"p","f")</f>
        <v>f</v>
      </c>
      <c r="D14">
        <f>COUNTIF(E5:E12,"&gt;1500")</f>
        <v>3</v>
      </c>
      <c r="E14">
        <f>COUNT(E5:E12)</f>
        <v>6</v>
      </c>
      <c r="F14">
        <f>VLOOKUP(A5,A4:AD11,4,FALSE)</f>
        <v>2005</v>
      </c>
      <c r="G14">
        <f>MIN(D5:D12)</f>
        <v>4</v>
      </c>
      <c r="H14">
        <f>MAX(D5:D12)</f>
        <v>2016</v>
      </c>
      <c r="I14">
        <f>AVERAGE(D5,E6)</f>
        <v>4902.5</v>
      </c>
      <c r="J14">
        <f>(100*D6)/E7</f>
        <v>94.523809523809518</v>
      </c>
      <c r="K14" t="str">
        <f>UPPER(B5)</f>
        <v>MEDIXCARE CORP</v>
      </c>
      <c r="M14" t="str">
        <f>LOWER(G5)</f>
        <v>downtown</v>
      </c>
    </row>
    <row r="15" spans="1:32" x14ac:dyDescent="0.25">
      <c r="A15">
        <f>SUM(D4:D5)</f>
        <v>4003</v>
      </c>
      <c r="B15">
        <f>SUMIF(E6:E13,"&gt;1500")</f>
        <v>9900</v>
      </c>
      <c r="C15" t="str">
        <f>IF(E6&lt;600,"p","f")</f>
        <v>f</v>
      </c>
      <c r="D15">
        <f>COUNTIF(E6:E13,"&gt;1500")</f>
        <v>2</v>
      </c>
      <c r="E15">
        <f>COUNT(E6:E13)</f>
        <v>6</v>
      </c>
      <c r="F15">
        <f>VLOOKUP(A6,A5:AD12,4,FALSE)</f>
        <v>1985</v>
      </c>
      <c r="G15">
        <f>MIN(D6:D13)</f>
        <v>4</v>
      </c>
      <c r="H15">
        <f>MAX(D6:D13)</f>
        <v>2016</v>
      </c>
      <c r="I15">
        <f>AVERAGE(D6,E7)</f>
        <v>2042.5</v>
      </c>
      <c r="J15">
        <f>(100*D7)/E8</f>
        <v>223.55555555555554</v>
      </c>
      <c r="K15" t="str">
        <f>UPPER(B6)</f>
        <v>AUTOMOTION AG</v>
      </c>
      <c r="M15" t="str">
        <f>LOWER(G6)</f>
        <v>industrial zone</v>
      </c>
    </row>
    <row r="16" spans="1:32" x14ac:dyDescent="0.25">
      <c r="A16">
        <f>SUM(D5:D6)</f>
        <v>3990</v>
      </c>
      <c r="B16">
        <f>SUMIF(E7:E14,"&gt;1500")</f>
        <v>2100</v>
      </c>
      <c r="C16" t="str">
        <f>IF(E7&lt;600,"p","f")</f>
        <v>f</v>
      </c>
      <c r="D16">
        <f>COUNTIF(E7:E14,"&gt;1500")</f>
        <v>1</v>
      </c>
      <c r="E16">
        <f>COUNT(E7:E14)</f>
        <v>6</v>
      </c>
      <c r="F16">
        <f>VLOOKUP(A7,A6:AD13,4,FALSE)</f>
        <v>2012</v>
      </c>
      <c r="G16">
        <f>MIN(D7:D14)</f>
        <v>3</v>
      </c>
      <c r="H16">
        <f>MAX(D7:D14)</f>
        <v>2016</v>
      </c>
      <c r="I16">
        <f>AVERAGE(D7,E8)</f>
        <v>1456</v>
      </c>
      <c r="J16">
        <v>222.2</v>
      </c>
      <c r="K16" t="str">
        <f>UPPER(B7)</f>
        <v>SKYLOGIX</v>
      </c>
      <c r="M16" t="str">
        <f>LOWER(G7)</f>
        <v>free zone</v>
      </c>
    </row>
    <row r="17" spans="1:13" x14ac:dyDescent="0.25">
      <c r="A17">
        <f>SUM(D6:D7)</f>
        <v>3997</v>
      </c>
      <c r="B17">
        <f>SUMIF(E8:E15,"&gt;1500")</f>
        <v>0</v>
      </c>
      <c r="C17" t="str">
        <f>IF(E8&lt;600,"p","f")</f>
        <v>f</v>
      </c>
      <c r="D17">
        <f>COUNTIF(E8:E15,"&gt;1500")</f>
        <v>0</v>
      </c>
      <c r="E17">
        <f>COUNT(E8:E15)</f>
        <v>6</v>
      </c>
      <c r="F17">
        <f>VLOOKUP(A8,A7:AD14,4,FALSE)</f>
        <v>2016</v>
      </c>
      <c r="G17">
        <f>MIN(D8:D15)</f>
        <v>2</v>
      </c>
      <c r="H17">
        <f>MAX(D8:D15)</f>
        <v>2016</v>
      </c>
      <c r="I17">
        <f>AVERAGE(D8,E10)</f>
        <v>2016</v>
      </c>
      <c r="J17" t="e">
        <f>(100*D10)/E11</f>
        <v>#VALUE!</v>
      </c>
      <c r="K17" t="str">
        <f>UPPER(B8)</f>
        <v>EDUSPHERE</v>
      </c>
      <c r="M17" t="str">
        <f>LOWER(G8)</f>
        <v>tech corridor</v>
      </c>
    </row>
    <row r="18" spans="1:13" x14ac:dyDescent="0.25">
      <c r="A18">
        <f>SUM(D7:D8)</f>
        <v>4028</v>
      </c>
      <c r="B18">
        <f>SUMIF(E10:E16,"&gt;1500")</f>
        <v>0</v>
      </c>
      <c r="C18" t="str">
        <f>IF(E10&lt;600,"p","f")</f>
        <v>f</v>
      </c>
      <c r="D18">
        <f>COUNTIF(E10:E16,"&gt;1500")</f>
        <v>0</v>
      </c>
      <c r="E18">
        <f>COUNT(E10:E16)</f>
        <v>6</v>
      </c>
      <c r="F18">
        <v>1500</v>
      </c>
      <c r="G18">
        <f>MIN(D10:D16)</f>
        <v>1</v>
      </c>
      <c r="H18">
        <f>MAX(D10:D16)</f>
        <v>4</v>
      </c>
      <c r="I18">
        <f>AVERAGE(D10,E11)</f>
        <v>7</v>
      </c>
      <c r="J18">
        <f>(100*D11)/E12</f>
        <v>66.666666666666671</v>
      </c>
      <c r="K18" t="str">
        <f>UPPER(B10)</f>
        <v>SUMIF</v>
      </c>
      <c r="M18" t="str">
        <f>LOWER(G10)</f>
        <v>min</v>
      </c>
    </row>
    <row r="19" spans="1:13" x14ac:dyDescent="0.25">
      <c r="A19">
        <f>SUM(D8:D10)</f>
        <v>2016</v>
      </c>
      <c r="B19">
        <f>SUMIF(E11:E17,"&gt;1500")</f>
        <v>0</v>
      </c>
      <c r="C19" t="str">
        <f>IF(E11&lt;600,"p","f")</f>
        <v>p</v>
      </c>
      <c r="D19">
        <f>COUNTIF(E11:E17,"&gt;1500")</f>
        <v>0</v>
      </c>
      <c r="E19">
        <f>COUNT(E11:E17)</f>
        <v>7</v>
      </c>
      <c r="F19">
        <f>VLOOKUP(A11,A9:AD16,4,FALSE)</f>
        <v>4</v>
      </c>
      <c r="G19">
        <f>MIN(D11:D17)</f>
        <v>0</v>
      </c>
      <c r="H19">
        <f>MAX(D11:D17)</f>
        <v>4</v>
      </c>
      <c r="I19">
        <f>AVERAGE(D11,E12)</f>
        <v>5</v>
      </c>
      <c r="J19">
        <f>(100*D12)/E13</f>
        <v>66.666666666666671</v>
      </c>
      <c r="K19" t="str">
        <f>UPPER(B11)</f>
        <v>18500</v>
      </c>
      <c r="M19" t="str">
        <f>LOWER(G11)</f>
        <v>1985</v>
      </c>
    </row>
  </sheetData>
  <conditionalFormatting sqref="C11:C19">
    <cfRule type="containsText" dxfId="0" priority="1" operator="containsText" text="P">
      <formula>NOT(ISERROR(SEARCH("P",C11)))</formula>
    </cfRule>
  </conditionalFormatting>
  <hyperlinks>
    <hyperlink ref="M2" r:id="rId1" display="http://www.technova.com/"/>
    <hyperlink ref="N2" r:id="rId2" display="mailto:info@technova.com"/>
    <hyperlink ref="M3" r:id="rId3" display="http://www.greenedge.co.uk/"/>
    <hyperlink ref="N3" r:id="rId4" display="mailto:contact@greenedge.co.uk"/>
    <hyperlink ref="M4" r:id="rId5" display="http://www.fincore.com/"/>
    <hyperlink ref="N4" r:id="rId6" display="mailto:support@fincore.com"/>
    <hyperlink ref="M5" r:id="rId7" display="http://www.medixcare.ca/"/>
    <hyperlink ref="N5" r:id="rId8" display="mailto:hello@medixcare.ca"/>
    <hyperlink ref="M6" r:id="rId9" display="http://www.automotion.de/"/>
    <hyperlink ref="N6" r:id="rId10" display="mailto:info@automotion.de"/>
    <hyperlink ref="M7" r:id="rId11" display="http://www.skylogix.ae/"/>
    <hyperlink ref="N7" r:id="rId12" display="mailto:ops@skylogix.ae"/>
    <hyperlink ref="M8" r:id="rId13" display="http://www.edusphere.in/"/>
    <hyperlink ref="N8" r:id="rId14" display="mailto:connect@edusphere.in"/>
  </hyperlinks>
  <pageMargins left="0.7" right="0.7" top="0.75" bottom="0.75" header="0.3" footer="0.3"/>
  <drawing r:id="rId15"/>
  <tableParts count="2">
    <tablePart r:id="rId16"/>
    <tablePart r:id="rId1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7:I17"/>
  <sheetViews>
    <sheetView workbookViewId="0">
      <selection activeCell="G11" sqref="G11:G17"/>
    </sheetView>
  </sheetViews>
  <sheetFormatPr defaultRowHeight="15" x14ac:dyDescent="0.25"/>
  <sheetData>
    <row r="7" spans="7:9" ht="25.5" x14ac:dyDescent="0.4">
      <c r="I7" s="8"/>
    </row>
    <row r="9" spans="7:9" x14ac:dyDescent="0.25">
      <c r="G9" t="s">
        <v>166</v>
      </c>
      <c r="H9" t="s">
        <v>167</v>
      </c>
    </row>
    <row r="11" spans="7:9" x14ac:dyDescent="0.25">
      <c r="G11" t="s">
        <v>168</v>
      </c>
    </row>
    <row r="12" spans="7:9" x14ac:dyDescent="0.25">
      <c r="G12" t="s">
        <v>169</v>
      </c>
    </row>
    <row r="13" spans="7:9" x14ac:dyDescent="0.25">
      <c r="G13" t="s">
        <v>170</v>
      </c>
    </row>
    <row r="14" spans="7:9" x14ac:dyDescent="0.25">
      <c r="G14" t="s">
        <v>171</v>
      </c>
    </row>
    <row r="15" spans="7:9" x14ac:dyDescent="0.25">
      <c r="G15" t="s">
        <v>172</v>
      </c>
    </row>
    <row r="16" spans="7:9" x14ac:dyDescent="0.25">
      <c r="G16" t="s">
        <v>173</v>
      </c>
    </row>
    <row r="17" spans="7:7" x14ac:dyDescent="0.25">
      <c r="G17" t="s">
        <v>174</v>
      </c>
    </row>
  </sheetData>
  <dataValidations count="1">
    <dataValidation type="date" errorStyle="warning" operator="equal" allowBlank="1" showInputMessage="1" showErrorMessage="1" errorTitle="XXX" error="UMAR" promptTitle="ABC" prompt="XYZ" sqref="G11:G17">
      <formula1>80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BQ2</dc:creator>
  <cp:lastModifiedBy>BQ2</cp:lastModifiedBy>
  <dcterms:created xsi:type="dcterms:W3CDTF">2026-01-25T11:52:40Z</dcterms:created>
  <dcterms:modified xsi:type="dcterms:W3CDTF">2026-01-25T12:23:52Z</dcterms:modified>
</cp:coreProperties>
</file>